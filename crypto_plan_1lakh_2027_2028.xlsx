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Buy Plan" sheetId="2" state="visible" r:id="rId4"/>
    <sheet name="Monthly Schedule" sheetId="3" state="visible" r:id="rId5"/>
    <sheet name="Sell Plan" sheetId="4" state="visible" r:id="rId6"/>
    <sheet name="Tracker" sheetId="5" state="visible" r:id="rId7"/>
    <sheet name="Notes &amp; Ris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7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8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9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10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11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12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  <comment ref="Q13" authorId="0">
      <text>
        <r>
          <rPr>
            <sz val="10"/>
            <rFont val="Arial"/>
            <family val="2"/>
          </rPr>
          <t xml:space="preserve">Starts at the 8-Oct-2026 price from Inputs. Overwrite with today's exchange price (₹).</t>
        </r>
      </text>
    </comment>
  </commentList>
</comments>
</file>

<file path=xl/sharedStrings.xml><?xml version="1.0" encoding="utf-8"?>
<sst xmlns="http://schemas.openxmlformats.org/spreadsheetml/2006/main" count="216" uniqueCount="187">
  <si>
    <t xml:space="preserve">Crypto Plan 2027–2028 — Inputs</t>
  </si>
  <si>
    <t xml:space="preserve">Blue text = inputs you can change. Yellow = key assumptions. Black = formulas. Prices from Binance (USDT pairs), 8 Oct 2026.</t>
  </si>
  <si>
    <t xml:space="preserve">Total budget (₹)</t>
  </si>
  <si>
    <t xml:space="preserve">Your total investment.</t>
  </si>
  <si>
    <t xml:space="preserve">USD → INR rate</t>
  </si>
  <si>
    <t xml:space="preserve">open.er-api.com, 8 Oct 2026. Indian exchanges often quote INR a few % higher.</t>
  </si>
  <si>
    <t xml:space="preserve">Share for monthly buys</t>
  </si>
  <si>
    <t xml:space="preserve">Spent in equal parts over the buy months.</t>
  </si>
  <si>
    <t xml:space="preserve">Share for Dip order 1</t>
  </si>
  <si>
    <t xml:space="preserve">Limit order near the 90-day low.</t>
  </si>
  <si>
    <t xml:space="preserve">Share for Dip order 2</t>
  </si>
  <si>
    <t xml:space="preserve">Remainder; limit order near the 2026 low.</t>
  </si>
  <si>
    <t xml:space="preserve">Number of monthly buys</t>
  </si>
  <si>
    <t xml:space="preserve">Jan–Dec 2027.</t>
  </si>
  <si>
    <t xml:space="preserve">Tax on crypto gains</t>
  </si>
  <si>
    <t xml:space="preserve">30% + 4% cess (India, Sec 115BBH). Losses cannot be set off.</t>
  </si>
  <si>
    <t xml:space="preserve">TDS on each sale</t>
  </si>
  <si>
    <t xml:space="preserve">1% TDS (Sec 194S), adjustable when filing.</t>
  </si>
  <si>
    <t xml:space="preserve">Coin</t>
  </si>
  <si>
    <t xml:space="preserve">Allocation %</t>
  </si>
  <si>
    <t xml:space="preserve">Amount (₹)</t>
  </si>
  <si>
    <t xml:space="preserve">Price 8-Oct-2026 ($)</t>
  </si>
  <si>
    <t xml:space="preserve">Price 8-Oct-2026 (₹)</t>
  </si>
  <si>
    <t xml:space="preserve">2026 low ($)</t>
  </si>
  <si>
    <t xml:space="preserve">High since 2023 ($)</t>
  </si>
  <si>
    <t xml:space="preserve">Today vs high</t>
  </si>
  <si>
    <t xml:space="preserve">Role</t>
  </si>
  <si>
    <t xml:space="preserve">BTC</t>
  </si>
  <si>
    <t xml:space="preserve">Core holding, most reliable</t>
  </si>
  <si>
    <t xml:space="preserve">ETH</t>
  </si>
  <si>
    <t xml:space="preserve">Second-largest coin</t>
  </si>
  <si>
    <t xml:space="preserve">SOL</t>
  </si>
  <si>
    <t xml:space="preserve">Biggest gainer in last recovery</t>
  </si>
  <si>
    <t xml:space="preserve">BNB</t>
  </si>
  <si>
    <t xml:space="preserve">Steady performer</t>
  </si>
  <si>
    <t xml:space="preserve">TRX</t>
  </si>
  <si>
    <t xml:space="preserve">Profit in 90% of past 2-yr periods</t>
  </si>
  <si>
    <t xml:space="preserve">INJ</t>
  </si>
  <si>
    <t xml:space="preserve">High risk / high reward</t>
  </si>
  <si>
    <t xml:space="preserve">DOGE</t>
  </si>
  <si>
    <t xml:space="preserve">Meme coin, high risk</t>
  </si>
  <si>
    <t xml:space="preserve">Total</t>
  </si>
  <si>
    <t xml:space="preserve">Allocation must total 100%:</t>
  </si>
  <si>
    <t xml:space="preserve">Source: Binance public market data (data-api.binance.vision), daily closes to 8 Oct 2026. High = highest daily close since Jan 2023.</t>
  </si>
  <si>
    <t xml:space="preserve">Buy Plan — how much to buy, and at which price</t>
  </si>
  <si>
    <t xml:space="preserve">Monthly buy on the 1st of each month in 2027. Dip orders = limit orders; if not filled by Jul 2028, buy at market that month.</t>
  </si>
  <si>
    <t xml:space="preserve">Total for coin (₹)</t>
  </si>
  <si>
    <t xml:space="preserve">Monthly buy (₹)</t>
  </si>
  <si>
    <t xml:space="preserve">Dip 1 price ($)</t>
  </si>
  <si>
    <t xml:space="preserve">Dip 1 price (₹)</t>
  </si>
  <si>
    <t xml:space="preserve">Dip 1 amount (₹)</t>
  </si>
  <si>
    <t xml:space="preserve">Dip 1 vs today</t>
  </si>
  <si>
    <t xml:space="preserve">Dip 2 price ($)</t>
  </si>
  <si>
    <t xml:space="preserve">Dip 2 price (₹)</t>
  </si>
  <si>
    <t xml:space="preserve">Dip 2 amount (₹)</t>
  </si>
  <si>
    <t xml:space="preserve">Dip 2 vs today</t>
  </si>
  <si>
    <t xml:space="preserve">Check total (₹)</t>
  </si>
  <si>
    <t xml:space="preserve">How the dip prices were chosen: Dip 1 ≈ the low of the last 90 days; Dip 2 ≈ the 2026 low (e.g. BTC $58.6k on 30 Jun 2026).</t>
  </si>
  <si>
    <t xml:space="preserve">Past cycles fell in July 2027 and July 2028 (by analogy), so watch those months for dip orders to fill.</t>
  </si>
  <si>
    <t xml:space="preserve">Safety rule: if BTC closes a week below $58,600, keep monthly buys but don't add dip money until it climbs back above.</t>
  </si>
  <si>
    <t xml:space="preserve">Indian exchanges quote INR prices: compare the USD price on the exchange's USDT market, or adjust the ₹ levels for the exchange premium.</t>
  </si>
  <si>
    <t xml:space="preserve">Month-by-month plan, Jan 2027 – Dec 2028</t>
  </si>
  <si>
    <t xml:space="preserve">Buy amounts update from 'Buy Plan'. 'Past cycles' = BTC's average return in the matching month of the 2017–21 and 2021–25 cycles (guide only).</t>
  </si>
  <si>
    <t xml:space="preserve">Month</t>
  </si>
  <si>
    <t xml:space="preserve">Past cycles (BTC avg)</t>
  </si>
  <si>
    <t xml:space="preserve">Monthly buy? (1=yes)</t>
  </si>
  <si>
    <t xml:space="preserve">BTC buy (₹)</t>
  </si>
  <si>
    <t xml:space="preserve">ETH buy (₹)</t>
  </si>
  <si>
    <t xml:space="preserve">SOL buy (₹)</t>
  </si>
  <si>
    <t xml:space="preserve">BNB buy (₹)</t>
  </si>
  <si>
    <t xml:space="preserve">TRX buy (₹)</t>
  </si>
  <si>
    <t xml:space="preserve">INJ buy (₹)</t>
  </si>
  <si>
    <t xml:space="preserve">DOGE buy (₹)</t>
  </si>
  <si>
    <t xml:space="preserve">Total buy (₹)</t>
  </si>
  <si>
    <t xml:space="preserve">Cumulative bought (₹)</t>
  </si>
  <si>
    <t xml:space="preserve">Sell % of holdings</t>
  </si>
  <si>
    <t xml:space="preserve">Action</t>
  </si>
  <si>
    <t xml:space="preserve">Done? (✓)</t>
  </si>
  <si>
    <t xml:space="preserve">Jan 2027</t>
  </si>
  <si>
    <t xml:space="preserve">Monthly buy. Place Dip 1 and Dip 2 limit orders for every coin.</t>
  </si>
  <si>
    <t xml:space="preserve">Feb 2027</t>
  </si>
  <si>
    <t xml:space="preserve">Monthly buy.</t>
  </si>
  <si>
    <t xml:space="preserve">Mar 2027</t>
  </si>
  <si>
    <t xml:space="preserve">Monthly buy (prices often jump here — don't chase).</t>
  </si>
  <si>
    <t xml:space="preserve">Apr 2027</t>
  </si>
  <si>
    <t xml:space="preserve">May 2027</t>
  </si>
  <si>
    <t xml:space="preserve">Jun 2027</t>
  </si>
  <si>
    <t xml:space="preserve">Monthly buy. Watch for dip orders to fill.</t>
  </si>
  <si>
    <t xml:space="preserve">Jul 2027</t>
  </si>
  <si>
    <t xml:space="preserve">Monthly buy. Best month to buy in this pattern (fell in both cycles).</t>
  </si>
  <si>
    <t xml:space="preserve">Aug 2027</t>
  </si>
  <si>
    <t xml:space="preserve">Sep 2027</t>
  </si>
  <si>
    <t xml:space="preserve">Oct 2027</t>
  </si>
  <si>
    <t xml:space="preserve">Nov 2027</t>
  </si>
  <si>
    <t xml:space="preserve">Monthly buy (often a strong month).</t>
  </si>
  <si>
    <t xml:space="preserve">Dec 2027</t>
  </si>
  <si>
    <t xml:space="preserve">Last monthly buy. Check dip orders are still open.</t>
  </si>
  <si>
    <t xml:space="preserve">Jan 2028</t>
  </si>
  <si>
    <t xml:space="preserve">No monthly buy. Keep dip orders open.</t>
  </si>
  <si>
    <t xml:space="preserve">Feb 2028</t>
  </si>
  <si>
    <t xml:space="preserve">Hold.</t>
  </si>
  <si>
    <t xml:space="preserve">Mar 2028</t>
  </si>
  <si>
    <t xml:space="preserve">Sell 10% (start with INJ &amp; DOGE) — only if above your average buy price.</t>
  </si>
  <si>
    <t xml:space="preserve">Apr 2028</t>
  </si>
  <si>
    <t xml:space="preserve">Bitcoin halving month (expected). Hold.</t>
  </si>
  <si>
    <t xml:space="preserve">May 2028</t>
  </si>
  <si>
    <t xml:space="preserve">Jun 2028</t>
  </si>
  <si>
    <t xml:space="preserve">Jul 2028</t>
  </si>
  <si>
    <t xml:space="preserve">Last buy: put any unfilled dip-order money in at market price.</t>
  </si>
  <si>
    <t xml:space="preserve">Aug 2028</t>
  </si>
  <si>
    <t xml:space="preserve">Hold. Price targets may start to hit — follow 'Sell Plan'.</t>
  </si>
  <si>
    <t xml:space="preserve">Sep 2028</t>
  </si>
  <si>
    <t xml:space="preserve">Sell 10% if not already sold via price targets.</t>
  </si>
  <si>
    <t xml:space="preserve">Oct 2028</t>
  </si>
  <si>
    <t xml:space="preserve">Sell 15% (rose strongly in both past cycles).</t>
  </si>
  <si>
    <t xml:space="preserve">Nov 2028</t>
  </si>
  <si>
    <t xml:space="preserve">Sell 10%.</t>
  </si>
  <si>
    <t xml:space="preserve">Dec 2028</t>
  </si>
  <si>
    <t xml:space="preserve">Sell 15%. Keep ~40% for the expected 2029 peak (trailing exit).</t>
  </si>
  <si>
    <t xml:space="preserve">Monthly buys total ₹ = 'Monthly buy' share of budget. Dip orders (the other 40%) fill whenever price reaches the levels in 'Buy Plan' — log them in 'Tracker'.</t>
  </si>
  <si>
    <t xml:space="preserve">Sell % = calendar fallback. If a price target in 'Sell Plan' hits first, sell by target instead. Sell by calendar only if the coin is above your average buy price.</t>
  </si>
  <si>
    <t xml:space="preserve">Past-cycle source: Binance BTCUSDT monthly candles; month k after the Oct 2025 top matched to month k after the Dec 2017 and Nov 2021 tops.</t>
  </si>
  <si>
    <t xml:space="preserve">Sell Plan — profit targets per coin</t>
  </si>
  <si>
    <t xml:space="preserve">Sell 20% of that coin's holding at each target. Keep the last 40% and exit when price falls the trailing % from its highest price.</t>
  </si>
  <si>
    <t xml:space="preserve">Today ($)</t>
  </si>
  <si>
    <t xml:space="preserve">Target 1 ($)</t>
  </si>
  <si>
    <t xml:space="preserve">Target 1 (₹)</t>
  </si>
  <si>
    <t xml:space="preserve">T1 vs today</t>
  </si>
  <si>
    <t xml:space="preserve">Target 2 ($)</t>
  </si>
  <si>
    <t xml:space="preserve">Target 2 (₹)</t>
  </si>
  <si>
    <t xml:space="preserve">T2 vs today</t>
  </si>
  <si>
    <t xml:space="preserve">Target 3 ($)</t>
  </si>
  <si>
    <t xml:space="preserve">Target 3 (₹)</t>
  </si>
  <si>
    <t xml:space="preserve">T3 vs today</t>
  </si>
  <si>
    <t xml:space="preserve">Sell % at each target</t>
  </si>
  <si>
    <t xml:space="preserve">Trailing exit on last 40%</t>
  </si>
  <si>
    <t xml:space="preserve">Trailing exit price if high = T3 ($)</t>
  </si>
  <si>
    <t xml:space="preserve">How the targets were chosen: T1 ≈ a level the coin traded at in 2025; T2 ≈ the old all-time high; T3 = a modest new high (each cycle's gains have been smaller).</t>
  </si>
  <si>
    <t xml:space="preserve">Price rules that override the calendar: (1) if BTC reaches 2x your average buy price early, take out your original investment; (2) sell a third of any coin that rises 3x; (3) if INJ+DOGE grow above 20% of the portfolio, move the excess to BTC.</t>
  </si>
  <si>
    <t xml:space="preserve">Trailing exit: after T3, track the coin's highest price; sell the last 40% when it falls the trailing % below that high (expected 2029).</t>
  </si>
  <si>
    <t xml:space="preserve">Calendar fallback</t>
  </si>
  <si>
    <t xml:space="preserve">Sell %</t>
  </si>
  <si>
    <t xml:space="preserve">Total by Dec 2028</t>
  </si>
  <si>
    <t xml:space="preserve">Tracker — log every buy and sell</t>
  </si>
  <si>
    <t xml:space="preserve">Fill the yellow columns (A–E) on each trade. Quantity, TDS and the summary calculate automatically. Enter today's prices in the summary's yellow column.</t>
  </si>
  <si>
    <t xml:space="preserve">Example (format only, not counted):</t>
  </si>
  <si>
    <t xml:space="preserve">01-Jan-2027</t>
  </si>
  <si>
    <t xml:space="preserve">Buy</t>
  </si>
  <si>
    <t xml:space="preserve">Monthly buy #1</t>
  </si>
  <si>
    <t xml:space="preserve">Date</t>
  </si>
  <si>
    <t xml:space="preserve">Buy / Sell</t>
  </si>
  <si>
    <t xml:space="preserve">Price per coin (₹)</t>
  </si>
  <si>
    <t xml:space="preserve">Quantity</t>
  </si>
  <si>
    <t xml:space="preserve">TDS (₹)</t>
  </si>
  <si>
    <t xml:space="preserve">Note</t>
  </si>
  <si>
    <t xml:space="preserve">Bought qty</t>
  </si>
  <si>
    <t xml:space="preserve">Sold qty</t>
  </si>
  <si>
    <t xml:space="preserve">Holding qty</t>
  </si>
  <si>
    <t xml:space="preserve">Invested (₹)</t>
  </si>
  <si>
    <t xml:space="preserve">Avg buy price (₹)</t>
  </si>
  <si>
    <t xml:space="preserve">Sold for (₹)</t>
  </si>
  <si>
    <t xml:space="preserve">Today's price (₹)</t>
  </si>
  <si>
    <t xml:space="preserve">Value now (₹)</t>
  </si>
  <si>
    <t xml:space="preserve">Total P/L (₹)</t>
  </si>
  <si>
    <t xml:space="preserve">P/L %</t>
  </si>
  <si>
    <t xml:space="preserve">Est. tax on realised gain (₹)</t>
  </si>
  <si>
    <t xml:space="preserve">Next action</t>
  </si>
  <si>
    <t xml:space="preserve">Tax estimate uses your average buy price (30% + 4% cess on gains; losses not offset). TDS in column G is credited when you file. Confirm with a tax adviser.</t>
  </si>
  <si>
    <t xml:space="preserve">Notes, scenarios and risks</t>
  </si>
  <si>
    <t xml:space="preserve">Read before using the plan.</t>
  </si>
  <si>
    <t xml:space="preserve">How the plan was built</t>
  </si>
  <si>
    <t xml:space="preserve">• Based on Binance daily prices for each coin's full history, rolling 2-year returns, and the Bitcoin 4-year cycle (tops Dec 2017, Nov 2021, Oct 2025).</t>
  </si>
  <si>
    <t xml:space="preserve">• Today (Oct 2026) sits at the same cycle point as Nov 2018 and Oct 2022; the plan assumes 2027 resembles 2019/2023 and 2028 resembles 2020/2024.</t>
  </si>
  <si>
    <t xml:space="preserve">Possible results (rough, before tax)</t>
  </si>
  <si>
    <t xml:space="preserve">• Cycle repeats, Targets 1–2 hit in 2028: ₹1 L → about ₹1.6–2.2 L</t>
  </si>
  <si>
    <t xml:space="preserve">• Strong rally, all targets hit, SOL/INJ surge: ₹2.5 L or more</t>
  </si>
  <si>
    <t xml:space="preserve">• Cycle breaks, prices flat or falling: ₹50,000 – ₹1 L</t>
  </si>
  <si>
    <t xml:space="preserve">Indian tax</t>
  </si>
  <si>
    <t xml:space="preserve">• 30% tax + 4% cess on every profit; losses cannot reduce tax on gains.</t>
  </si>
  <si>
    <t xml:space="preserve">• 1% TDS deducted on every sale; adjusted against your tax when you file.</t>
  </si>
  <si>
    <t xml:space="preserve">• Use a FIU-registered exchange and keep this Tracker as your record of every trade.</t>
  </si>
  <si>
    <t xml:space="preserve">Risks</t>
  </si>
  <si>
    <t xml:space="preserve">• Only 2 earlier cycles: far too few for statistical confidence. ETFs, rates and regulation may change or end the 4-year pattern.</t>
  </si>
  <si>
    <t xml:space="preserve">• This cycle's drop (−53%) was milder than the last two (−83%, −77%), which suggests the pattern is weakening.</t>
  </si>
  <si>
    <t xml:space="preserve">• Every coin here has fallen 80%+ from a peak at least once. Never invest money you need in the next 2 years.</t>
  </si>
  <si>
    <t xml:space="preserve">• Review the plan every 3 months and adjust levels if the market behaves very differently.</t>
  </si>
  <si>
    <t xml:space="preserve">• This is a statistical scenario, not financial advice. If in doubt, consult a SEBI-registered adviser.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</si>
</sst>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;&quot;(₹&quot;#,##0\);\-"/>
    <numFmt numFmtId="166" formatCode="0.00"/>
    <numFmt numFmtId="167" formatCode="0.0%;\(0.0%\);\-"/>
    <numFmt numFmtId="168" formatCode="0"/>
    <numFmt numFmtId="169" formatCode="\$#,##0.00####;&quot;($&quot;#,##0.00\);\-"/>
    <numFmt numFmtId="170" formatCode="\₹#,##0.00;&quot;(₹&quot;#,##0.00\);\-"/>
    <numFmt numFmtId="171" formatCode="0.00\x"/>
    <numFmt numFmtId="172" formatCode="0.00000000"/>
    <numFmt numFmtId="173" formatCode="dd\-mmm\-yyyy"/>
    <numFmt numFmtId="174" formatCode="0.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100000</v>
      </c>
      <c r="C3" s="2" t="s">
        <v>3</v>
      </c>
    </row>
    <row r="4" customFormat="false" ht="15" hidden="false" customHeight="false" outlineLevel="0" collapsed="false">
      <c r="A4" s="3" t="s">
        <v>4</v>
      </c>
      <c r="B4" s="5" t="n">
        <v>96.8</v>
      </c>
      <c r="C4" s="2" t="s">
        <v>5</v>
      </c>
    </row>
    <row r="5" customFormat="false" ht="15" hidden="false" customHeight="false" outlineLevel="0" collapsed="false">
      <c r="A5" s="3" t="s">
        <v>6</v>
      </c>
      <c r="B5" s="6" t="n">
        <v>0.6</v>
      </c>
      <c r="C5" s="2" t="s">
        <v>7</v>
      </c>
    </row>
    <row r="6" customFormat="false" ht="15" hidden="false" customHeight="false" outlineLevel="0" collapsed="false">
      <c r="A6" s="3" t="s">
        <v>8</v>
      </c>
      <c r="B6" s="6" t="n">
        <v>0.2</v>
      </c>
      <c r="C6" s="2" t="s">
        <v>9</v>
      </c>
    </row>
    <row r="7" customFormat="false" ht="15" hidden="false" customHeight="false" outlineLevel="0" collapsed="false">
      <c r="A7" s="3" t="s">
        <v>10</v>
      </c>
      <c r="B7" s="7" t="n">
        <f aca="false">1-B5-B6</f>
        <v>0.2</v>
      </c>
      <c r="C7" s="2" t="s">
        <v>11</v>
      </c>
    </row>
    <row r="8" customFormat="false" ht="15" hidden="false" customHeight="false" outlineLevel="0" collapsed="false">
      <c r="A8" s="3" t="s">
        <v>12</v>
      </c>
      <c r="B8" s="8" t="n">
        <v>12</v>
      </c>
      <c r="C8" s="2" t="s">
        <v>13</v>
      </c>
    </row>
    <row r="9" customFormat="false" ht="15" hidden="false" customHeight="false" outlineLevel="0" collapsed="false">
      <c r="A9" s="3" t="s">
        <v>14</v>
      </c>
      <c r="B9" s="6" t="n">
        <v>0.312</v>
      </c>
      <c r="C9" s="2" t="s">
        <v>15</v>
      </c>
    </row>
    <row r="10" customFormat="false" ht="15" hidden="false" customHeight="false" outlineLevel="0" collapsed="false">
      <c r="A10" s="3" t="s">
        <v>16</v>
      </c>
      <c r="B10" s="6" t="n">
        <v>0.01</v>
      </c>
      <c r="C10" s="2" t="s">
        <v>17</v>
      </c>
    </row>
    <row r="13" customFormat="false" ht="31.5" hidden="false" customHeight="true" outlineLevel="0" collapsed="false">
      <c r="A13" s="9" t="s">
        <v>18</v>
      </c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  <c r="G13" s="9" t="s">
        <v>24</v>
      </c>
      <c r="H13" s="9" t="s">
        <v>25</v>
      </c>
      <c r="I13" s="9" t="s">
        <v>26</v>
      </c>
    </row>
    <row r="14" customFormat="false" ht="15" hidden="false" customHeight="false" outlineLevel="0" collapsed="false">
      <c r="A14" s="3" t="s">
        <v>27</v>
      </c>
      <c r="B14" s="10" t="n">
        <v>0.45</v>
      </c>
      <c r="C14" s="11" t="n">
        <f aca="false">$B$3*B14</f>
        <v>45000</v>
      </c>
      <c r="D14" s="12" t="n">
        <v>80710</v>
      </c>
      <c r="E14" s="13" t="n">
        <f aca="false">D14*$B$4</f>
        <v>7812728</v>
      </c>
      <c r="F14" s="12" t="n">
        <v>58620</v>
      </c>
      <c r="G14" s="12" t="n">
        <v>124660</v>
      </c>
      <c r="H14" s="7" t="n">
        <f aca="false">IFERROR(D14/G14-1,0)</f>
        <v>-0.352558960372212</v>
      </c>
      <c r="I14" s="14" t="s">
        <v>28</v>
      </c>
    </row>
    <row r="15" customFormat="false" ht="15" hidden="false" customHeight="false" outlineLevel="0" collapsed="false">
      <c r="A15" s="3" t="s">
        <v>29</v>
      </c>
      <c r="B15" s="10" t="n">
        <v>0.15</v>
      </c>
      <c r="C15" s="11" t="n">
        <f aca="false">$B$3*B15</f>
        <v>15000</v>
      </c>
      <c r="D15" s="12" t="n">
        <v>2418</v>
      </c>
      <c r="E15" s="13" t="n">
        <f aca="false">D15*$B$4</f>
        <v>234062.4</v>
      </c>
      <c r="F15" s="12" t="n">
        <v>1568</v>
      </c>
      <c r="G15" s="12" t="n">
        <v>4832</v>
      </c>
      <c r="H15" s="7" t="n">
        <f aca="false">IFERROR(D15/G15-1,0)</f>
        <v>-0.499586092715232</v>
      </c>
      <c r="I15" s="14" t="s">
        <v>30</v>
      </c>
    </row>
    <row r="16" customFormat="false" ht="15" hidden="false" customHeight="false" outlineLevel="0" collapsed="false">
      <c r="A16" s="3" t="s">
        <v>31</v>
      </c>
      <c r="B16" s="10" t="n">
        <v>0.15</v>
      </c>
      <c r="C16" s="11" t="n">
        <f aca="false">$B$3*B16</f>
        <v>15000</v>
      </c>
      <c r="D16" s="12" t="n">
        <v>106.5</v>
      </c>
      <c r="E16" s="13" t="n">
        <f aca="false">D16*$B$4</f>
        <v>10309.2</v>
      </c>
      <c r="F16" s="12" t="n">
        <v>62.2</v>
      </c>
      <c r="G16" s="12" t="n">
        <v>262</v>
      </c>
      <c r="H16" s="7" t="n">
        <f aca="false">IFERROR(D16/G16-1,0)</f>
        <v>-0.593511450381679</v>
      </c>
      <c r="I16" s="14" t="s">
        <v>32</v>
      </c>
    </row>
    <row r="17" customFormat="false" ht="15" hidden="false" customHeight="false" outlineLevel="0" collapsed="false">
      <c r="A17" s="3" t="s">
        <v>33</v>
      </c>
      <c r="B17" s="10" t="n">
        <v>0.1</v>
      </c>
      <c r="C17" s="11" t="n">
        <f aca="false">$B$3*B17</f>
        <v>10000</v>
      </c>
      <c r="D17" s="12" t="n">
        <v>722.4</v>
      </c>
      <c r="E17" s="13" t="n">
        <f aca="false">D17*$B$4</f>
        <v>69928.32</v>
      </c>
      <c r="F17" s="12" t="n">
        <v>546.5</v>
      </c>
      <c r="G17" s="12" t="n">
        <v>1307</v>
      </c>
      <c r="H17" s="7" t="n">
        <f aca="false">IFERROR(D17/G17-1,0)</f>
        <v>-0.447283856159143</v>
      </c>
      <c r="I17" s="14" t="s">
        <v>34</v>
      </c>
    </row>
    <row r="18" customFormat="false" ht="15" hidden="false" customHeight="false" outlineLevel="0" collapsed="false">
      <c r="A18" s="3" t="s">
        <v>35</v>
      </c>
      <c r="B18" s="10" t="n">
        <v>0.05</v>
      </c>
      <c r="C18" s="11" t="n">
        <f aca="false">$B$3*B18</f>
        <v>5000</v>
      </c>
      <c r="D18" s="12" t="n">
        <v>0.333</v>
      </c>
      <c r="E18" s="13" t="n">
        <f aca="false">D18*$B$4</f>
        <v>32.2344</v>
      </c>
      <c r="F18" s="12" t="n">
        <v>0.2696</v>
      </c>
      <c r="G18" s="12" t="n">
        <v>0.4334</v>
      </c>
      <c r="H18" s="7" t="n">
        <f aca="false">IFERROR(D18/G18-1,0)</f>
        <v>-0.231656668204892</v>
      </c>
      <c r="I18" s="14" t="s">
        <v>36</v>
      </c>
    </row>
    <row r="19" customFormat="false" ht="15" hidden="false" customHeight="false" outlineLevel="0" collapsed="false">
      <c r="A19" s="3" t="s">
        <v>37</v>
      </c>
      <c r="B19" s="10" t="n">
        <v>0.05</v>
      </c>
      <c r="C19" s="11" t="n">
        <f aca="false">$B$3*B19</f>
        <v>5000</v>
      </c>
      <c r="D19" s="12" t="n">
        <v>6.512</v>
      </c>
      <c r="E19" s="13" t="n">
        <f aca="false">D19*$B$4</f>
        <v>630.3616</v>
      </c>
      <c r="F19" s="12" t="n">
        <v>2.745</v>
      </c>
      <c r="G19" s="12" t="n">
        <v>51.85</v>
      </c>
      <c r="H19" s="7" t="n">
        <f aca="false">IFERROR(D19/G19-1,0)</f>
        <v>-0.874406943105111</v>
      </c>
      <c r="I19" s="14" t="s">
        <v>38</v>
      </c>
    </row>
    <row r="20" customFormat="false" ht="15" hidden="false" customHeight="false" outlineLevel="0" collapsed="false">
      <c r="A20" s="3" t="s">
        <v>39</v>
      </c>
      <c r="B20" s="10" t="n">
        <v>0.05</v>
      </c>
      <c r="C20" s="11" t="n">
        <f aca="false">$B$3*B20</f>
        <v>5000</v>
      </c>
      <c r="D20" s="12" t="n">
        <v>0.08149</v>
      </c>
      <c r="E20" s="13" t="n">
        <f aca="false">D20*$B$4</f>
        <v>7.888232</v>
      </c>
      <c r="F20" s="12" t="n">
        <v>0.06909</v>
      </c>
      <c r="G20" s="12" t="n">
        <v>0.4663</v>
      </c>
      <c r="H20" s="7" t="n">
        <f aca="false">IFERROR(D20/G20-1,0)</f>
        <v>-0.825241260990778</v>
      </c>
      <c r="I20" s="14" t="s">
        <v>40</v>
      </c>
    </row>
    <row r="21" customFormat="false" ht="15" hidden="false" customHeight="false" outlineLevel="0" collapsed="false">
      <c r="A21" s="3" t="s">
        <v>41</v>
      </c>
      <c r="B21" s="15" t="n">
        <f aca="false">SUM(B14:B20)</f>
        <v>1</v>
      </c>
      <c r="C21" s="16" t="n">
        <f aca="false">SUM(C14:C20)</f>
        <v>100000</v>
      </c>
    </row>
    <row r="22" customFormat="false" ht="15" hidden="false" customHeight="false" outlineLevel="0" collapsed="false">
      <c r="A22" s="17" t="s">
        <v>42</v>
      </c>
      <c r="B22" s="18" t="str">
        <f aca="false">IF(ROUND(B21,4)=1,"OK","Check: not 100%")</f>
        <v>OK</v>
      </c>
    </row>
    <row r="24" customFormat="false" ht="15" hidden="false" customHeight="false" outlineLevel="0" collapsed="false">
      <c r="A24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1.5" hidden="false" customHeight="true" outlineLevel="0" collapsed="false">
      <c r="A4" s="9" t="s">
        <v>18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51</v>
      </c>
      <c r="H4" s="9" t="s">
        <v>52</v>
      </c>
      <c r="I4" s="9" t="s">
        <v>53</v>
      </c>
      <c r="J4" s="9" t="s">
        <v>54</v>
      </c>
      <c r="K4" s="9" t="s">
        <v>55</v>
      </c>
      <c r="L4" s="9" t="s">
        <v>56</v>
      </c>
    </row>
    <row r="5" customFormat="false" ht="15" hidden="false" customHeight="false" outlineLevel="0" collapsed="false">
      <c r="A5" s="19" t="str">
        <f aca="false">Inputs!A14</f>
        <v>BTC</v>
      </c>
      <c r="B5" s="20" t="n">
        <f aca="false">Inputs!C14</f>
        <v>45000</v>
      </c>
      <c r="C5" s="11" t="n">
        <f aca="false">B5*Inputs!$B$5/Inputs!$B$8</f>
        <v>2250</v>
      </c>
      <c r="D5" s="12" t="n">
        <v>65000</v>
      </c>
      <c r="E5" s="13" t="n">
        <f aca="false">D5*Inputs!$B$4</f>
        <v>6292000</v>
      </c>
      <c r="F5" s="11" t="n">
        <f aca="false">B5*Inputs!$B$6</f>
        <v>9000</v>
      </c>
      <c r="G5" s="7" t="n">
        <f aca="false">IFERROR(D5/Inputs!D14-1,0)</f>
        <v>-0.194647503407261</v>
      </c>
      <c r="H5" s="12" t="n">
        <v>58000</v>
      </c>
      <c r="I5" s="13" t="n">
        <f aca="false">H5*Inputs!$B$4</f>
        <v>5614400</v>
      </c>
      <c r="J5" s="11" t="n">
        <f aca="false">B5*Inputs!$B$7</f>
        <v>9000</v>
      </c>
      <c r="K5" s="7" t="n">
        <f aca="false">IFERROR(H5/Inputs!D14-1,0)</f>
        <v>-0.281377772271094</v>
      </c>
      <c r="L5" s="11" t="n">
        <f aca="false">C5*Inputs!$B$8+F5+J5</f>
        <v>45000</v>
      </c>
    </row>
    <row r="6" customFormat="false" ht="15" hidden="false" customHeight="false" outlineLevel="0" collapsed="false">
      <c r="A6" s="19" t="str">
        <f aca="false">Inputs!A15</f>
        <v>ETH</v>
      </c>
      <c r="B6" s="20" t="n">
        <f aca="false">Inputs!C15</f>
        <v>15000</v>
      </c>
      <c r="C6" s="11" t="n">
        <f aca="false">B6*Inputs!$B$5/Inputs!$B$8</f>
        <v>750</v>
      </c>
      <c r="D6" s="12" t="n">
        <v>1850</v>
      </c>
      <c r="E6" s="13" t="n">
        <f aca="false">D6*Inputs!$B$4</f>
        <v>179080</v>
      </c>
      <c r="F6" s="11" t="n">
        <f aca="false">B6*Inputs!$B$6</f>
        <v>3000</v>
      </c>
      <c r="G6" s="7" t="n">
        <f aca="false">IFERROR(D6/Inputs!D15-1,0)</f>
        <v>-0.23490488006617</v>
      </c>
      <c r="H6" s="12" t="n">
        <v>1600</v>
      </c>
      <c r="I6" s="13" t="n">
        <f aca="false">H6*Inputs!$B$4</f>
        <v>154880</v>
      </c>
      <c r="J6" s="11" t="n">
        <f aca="false">B6*Inputs!$B$7</f>
        <v>3000</v>
      </c>
      <c r="K6" s="7" t="n">
        <f aca="false">IFERROR(H6/Inputs!D15-1,0)</f>
        <v>-0.338296112489661</v>
      </c>
      <c r="L6" s="11" t="n">
        <f aca="false">C6*Inputs!$B$8+F6+J6</f>
        <v>15000</v>
      </c>
    </row>
    <row r="7" customFormat="false" ht="15" hidden="false" customHeight="false" outlineLevel="0" collapsed="false">
      <c r="A7" s="19" t="str">
        <f aca="false">Inputs!A16</f>
        <v>SOL</v>
      </c>
      <c r="B7" s="20" t="n">
        <f aca="false">Inputs!C16</f>
        <v>15000</v>
      </c>
      <c r="C7" s="11" t="n">
        <f aca="false">B7*Inputs!$B$5/Inputs!$B$8</f>
        <v>750</v>
      </c>
      <c r="D7" s="12" t="n">
        <v>78</v>
      </c>
      <c r="E7" s="13" t="n">
        <f aca="false">D7*Inputs!$B$4</f>
        <v>7550.4</v>
      </c>
      <c r="F7" s="11" t="n">
        <f aca="false">B7*Inputs!$B$6</f>
        <v>3000</v>
      </c>
      <c r="G7" s="7" t="n">
        <f aca="false">IFERROR(D7/Inputs!D16-1,0)</f>
        <v>-0.267605633802817</v>
      </c>
      <c r="H7" s="12" t="n">
        <v>63</v>
      </c>
      <c r="I7" s="13" t="n">
        <f aca="false">H7*Inputs!$B$4</f>
        <v>6098.4</v>
      </c>
      <c r="J7" s="11" t="n">
        <f aca="false">B7*Inputs!$B$7</f>
        <v>3000</v>
      </c>
      <c r="K7" s="7" t="n">
        <f aca="false">IFERROR(H7/Inputs!D16-1,0)</f>
        <v>-0.408450704225352</v>
      </c>
      <c r="L7" s="11" t="n">
        <f aca="false">C7*Inputs!$B$8+F7+J7</f>
        <v>15000</v>
      </c>
    </row>
    <row r="8" customFormat="false" ht="15" hidden="false" customHeight="false" outlineLevel="0" collapsed="false">
      <c r="A8" s="19" t="str">
        <f aca="false">Inputs!A17</f>
        <v>BNB</v>
      </c>
      <c r="B8" s="20" t="n">
        <f aca="false">Inputs!C17</f>
        <v>10000</v>
      </c>
      <c r="C8" s="11" t="n">
        <f aca="false">B8*Inputs!$B$5/Inputs!$B$8</f>
        <v>500</v>
      </c>
      <c r="D8" s="12" t="n">
        <v>600</v>
      </c>
      <c r="E8" s="13" t="n">
        <f aca="false">D8*Inputs!$B$4</f>
        <v>58080</v>
      </c>
      <c r="F8" s="11" t="n">
        <f aca="false">B8*Inputs!$B$6</f>
        <v>2000</v>
      </c>
      <c r="G8" s="7" t="n">
        <f aca="false">IFERROR(D8/Inputs!D17-1,0)</f>
        <v>-0.169435215946844</v>
      </c>
      <c r="H8" s="12" t="n">
        <v>550</v>
      </c>
      <c r="I8" s="13" t="n">
        <f aca="false">H8*Inputs!$B$4</f>
        <v>53240</v>
      </c>
      <c r="J8" s="11" t="n">
        <f aca="false">B8*Inputs!$B$7</f>
        <v>2000</v>
      </c>
      <c r="K8" s="7" t="n">
        <f aca="false">IFERROR(H8/Inputs!D17-1,0)</f>
        <v>-0.238648947951274</v>
      </c>
      <c r="L8" s="11" t="n">
        <f aca="false">C8*Inputs!$B$8+F8+J8</f>
        <v>10000</v>
      </c>
    </row>
    <row r="9" customFormat="false" ht="15" hidden="false" customHeight="false" outlineLevel="0" collapsed="false">
      <c r="A9" s="19" t="str">
        <f aca="false">Inputs!A18</f>
        <v>TRX</v>
      </c>
      <c r="B9" s="20" t="n">
        <f aca="false">Inputs!C18</f>
        <v>5000</v>
      </c>
      <c r="C9" s="11" t="n">
        <f aca="false">B9*Inputs!$B$5/Inputs!$B$8</f>
        <v>250</v>
      </c>
      <c r="D9" s="12" t="n">
        <v>0.29</v>
      </c>
      <c r="E9" s="13" t="n">
        <f aca="false">D9*Inputs!$B$4</f>
        <v>28.072</v>
      </c>
      <c r="F9" s="11" t="n">
        <f aca="false">B9*Inputs!$B$6</f>
        <v>1000</v>
      </c>
      <c r="G9" s="7" t="n">
        <f aca="false">IFERROR(D9/Inputs!D18-1,0)</f>
        <v>-0.129129129129129</v>
      </c>
      <c r="H9" s="12" t="n">
        <v>0.27</v>
      </c>
      <c r="I9" s="13" t="n">
        <f aca="false">H9*Inputs!$B$4</f>
        <v>26.136</v>
      </c>
      <c r="J9" s="11" t="n">
        <f aca="false">B9*Inputs!$B$7</f>
        <v>1000</v>
      </c>
      <c r="K9" s="7" t="n">
        <f aca="false">IFERROR(H9/Inputs!D18-1,0)</f>
        <v>-0.189189189189189</v>
      </c>
      <c r="L9" s="11" t="n">
        <f aca="false">C9*Inputs!$B$8+F9+J9</f>
        <v>5000</v>
      </c>
    </row>
    <row r="10" customFormat="false" ht="15" hidden="false" customHeight="false" outlineLevel="0" collapsed="false">
      <c r="A10" s="19" t="str">
        <f aca="false">Inputs!A19</f>
        <v>INJ</v>
      </c>
      <c r="B10" s="20" t="n">
        <f aca="false">Inputs!C19</f>
        <v>5000</v>
      </c>
      <c r="C10" s="11" t="n">
        <f aca="false">B10*Inputs!$B$5/Inputs!$B$8</f>
        <v>250</v>
      </c>
      <c r="D10" s="12" t="n">
        <v>4.2</v>
      </c>
      <c r="E10" s="13" t="n">
        <f aca="false">D10*Inputs!$B$4</f>
        <v>406.56</v>
      </c>
      <c r="F10" s="11" t="n">
        <f aca="false">B10*Inputs!$B$6</f>
        <v>1000</v>
      </c>
      <c r="G10" s="7" t="n">
        <f aca="false">IFERROR(D10/Inputs!D19-1,0)</f>
        <v>-0.355036855036855</v>
      </c>
      <c r="H10" s="12" t="n">
        <v>3</v>
      </c>
      <c r="I10" s="13" t="n">
        <f aca="false">H10*Inputs!$B$4</f>
        <v>290.4</v>
      </c>
      <c r="J10" s="11" t="n">
        <f aca="false">B10*Inputs!$B$7</f>
        <v>1000</v>
      </c>
      <c r="K10" s="7" t="n">
        <f aca="false">IFERROR(H10/Inputs!D19-1,0)</f>
        <v>-0.539312039312039</v>
      </c>
      <c r="L10" s="11" t="n">
        <f aca="false">C10*Inputs!$B$8+F10+J10</f>
        <v>5000</v>
      </c>
    </row>
    <row r="11" customFormat="false" ht="15" hidden="false" customHeight="false" outlineLevel="0" collapsed="false">
      <c r="A11" s="19" t="str">
        <f aca="false">Inputs!A20</f>
        <v>DOGE</v>
      </c>
      <c r="B11" s="20" t="n">
        <f aca="false">Inputs!C20</f>
        <v>5000</v>
      </c>
      <c r="C11" s="11" t="n">
        <f aca="false">B11*Inputs!$B$5/Inputs!$B$8</f>
        <v>250</v>
      </c>
      <c r="D11" s="12" t="n">
        <v>0.07</v>
      </c>
      <c r="E11" s="13" t="n">
        <f aca="false">D11*Inputs!$B$4</f>
        <v>6.776</v>
      </c>
      <c r="F11" s="11" t="n">
        <f aca="false">B11*Inputs!$B$6</f>
        <v>1000</v>
      </c>
      <c r="G11" s="7" t="n">
        <f aca="false">IFERROR(D11/Inputs!D20-1,0)</f>
        <v>-0.140998895570009</v>
      </c>
      <c r="H11" s="12" t="n">
        <v>0.06</v>
      </c>
      <c r="I11" s="13" t="n">
        <f aca="false">H11*Inputs!$B$4</f>
        <v>5.808</v>
      </c>
      <c r="J11" s="11" t="n">
        <f aca="false">B11*Inputs!$B$7</f>
        <v>1000</v>
      </c>
      <c r="K11" s="7" t="n">
        <f aca="false">IFERROR(H11/Inputs!D20-1,0)</f>
        <v>-0.263713339060008</v>
      </c>
      <c r="L11" s="11" t="n">
        <f aca="false">C11*Inputs!$B$8+F11+J11</f>
        <v>5000</v>
      </c>
    </row>
    <row r="12" customFormat="false" ht="15" hidden="false" customHeight="false" outlineLevel="0" collapsed="false">
      <c r="A12" s="3" t="s">
        <v>41</v>
      </c>
      <c r="B12" s="16" t="n">
        <f aca="false">SUM(B5:B11)</f>
        <v>100000</v>
      </c>
      <c r="C12" s="16" t="n">
        <f aca="false">SUM(C5:C11)</f>
        <v>5000</v>
      </c>
      <c r="F12" s="16" t="n">
        <f aca="false">SUM(F5:F11)</f>
        <v>20000</v>
      </c>
      <c r="J12" s="16" t="n">
        <f aca="false">SUM(J5:J11)</f>
        <v>20000</v>
      </c>
      <c r="L12" s="16" t="n">
        <f aca="false">SUM(L5:L11)</f>
        <v>100000</v>
      </c>
    </row>
    <row r="14" customFormat="false" ht="15" hidden="false" customHeight="false" outlineLevel="0" collapsed="false">
      <c r="A14" s="2" t="s">
        <v>57</v>
      </c>
    </row>
    <row r="15" customFormat="false" ht="15" hidden="false" customHeight="false" outlineLevel="0" collapsed="false">
      <c r="A15" s="2" t="s">
        <v>58</v>
      </c>
    </row>
    <row r="16" customFormat="false" ht="15" hidden="false" customHeight="false" outlineLevel="0" collapsed="false">
      <c r="A16" s="2" t="s">
        <v>59</v>
      </c>
    </row>
    <row r="17" customFormat="false" ht="15" hidden="false" customHeight="false" outlineLevel="0" collapsed="false">
      <c r="A17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10" min="4" style="0" width="11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62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1.5" hidden="false" customHeight="true" outlineLevel="0" collapsed="false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72</v>
      </c>
      <c r="K4" s="9" t="s">
        <v>73</v>
      </c>
      <c r="L4" s="9" t="s">
        <v>74</v>
      </c>
      <c r="M4" s="9" t="s">
        <v>75</v>
      </c>
      <c r="N4" s="9" t="s">
        <v>76</v>
      </c>
      <c r="O4" s="9" t="s">
        <v>77</v>
      </c>
    </row>
    <row r="5" customFormat="false" ht="15" hidden="false" customHeight="false" outlineLevel="0" collapsed="false">
      <c r="A5" s="21" t="s">
        <v>78</v>
      </c>
      <c r="B5" s="10" t="n">
        <v>0.04</v>
      </c>
      <c r="C5" s="22" t="n">
        <v>1</v>
      </c>
      <c r="D5" s="11" t="n">
        <f aca="false">$C5*'Buy Plan'!$C$5</f>
        <v>2250</v>
      </c>
      <c r="E5" s="11" t="n">
        <f aca="false">$C5*'Buy Plan'!$C$6</f>
        <v>750</v>
      </c>
      <c r="F5" s="11" t="n">
        <f aca="false">$C5*'Buy Plan'!$C$7</f>
        <v>750</v>
      </c>
      <c r="G5" s="11" t="n">
        <f aca="false">$C5*'Buy Plan'!$C$8</f>
        <v>500</v>
      </c>
      <c r="H5" s="11" t="n">
        <f aca="false">$C5*'Buy Plan'!$C$9</f>
        <v>250</v>
      </c>
      <c r="I5" s="11" t="n">
        <f aca="false">$C5*'Buy Plan'!$C$10</f>
        <v>250</v>
      </c>
      <c r="J5" s="11" t="n">
        <f aca="false">$C5*'Buy Plan'!$C$11</f>
        <v>250</v>
      </c>
      <c r="K5" s="11" t="n">
        <f aca="false">SUM(D5:J5)</f>
        <v>5000</v>
      </c>
      <c r="L5" s="11" t="n">
        <f aca="false">K5</f>
        <v>5000</v>
      </c>
      <c r="M5" s="10" t="n">
        <v>0</v>
      </c>
      <c r="N5" s="23" t="s">
        <v>79</v>
      </c>
      <c r="O5" s="24"/>
    </row>
    <row r="6" customFormat="false" ht="15" hidden="false" customHeight="false" outlineLevel="0" collapsed="false">
      <c r="A6" s="21" t="s">
        <v>80</v>
      </c>
      <c r="B6" s="10" t="n">
        <v>0.26</v>
      </c>
      <c r="C6" s="22" t="n">
        <v>1</v>
      </c>
      <c r="D6" s="11" t="n">
        <f aca="false">$C6*'Buy Plan'!$C$5</f>
        <v>2250</v>
      </c>
      <c r="E6" s="11" t="n">
        <f aca="false">$C6*'Buy Plan'!$C$6</f>
        <v>750</v>
      </c>
      <c r="F6" s="11" t="n">
        <f aca="false">$C6*'Buy Plan'!$C$7</f>
        <v>750</v>
      </c>
      <c r="G6" s="11" t="n">
        <f aca="false">$C6*'Buy Plan'!$C$8</f>
        <v>500</v>
      </c>
      <c r="H6" s="11" t="n">
        <f aca="false">$C6*'Buy Plan'!$C$9</f>
        <v>250</v>
      </c>
      <c r="I6" s="11" t="n">
        <f aca="false">$C6*'Buy Plan'!$C$10</f>
        <v>250</v>
      </c>
      <c r="J6" s="11" t="n">
        <f aca="false">$C6*'Buy Plan'!$C$11</f>
        <v>250</v>
      </c>
      <c r="K6" s="11" t="n">
        <f aca="false">SUM(D6:J6)</f>
        <v>5000</v>
      </c>
      <c r="L6" s="11" t="n">
        <f aca="false">L5+K6</f>
        <v>10000</v>
      </c>
      <c r="M6" s="10" t="n">
        <v>0</v>
      </c>
      <c r="N6" s="23" t="s">
        <v>81</v>
      </c>
      <c r="O6" s="24"/>
    </row>
    <row r="7" customFormat="false" ht="15" hidden="false" customHeight="false" outlineLevel="0" collapsed="false">
      <c r="A7" s="21" t="s">
        <v>82</v>
      </c>
      <c r="B7" s="10" t="n">
        <v>0.32</v>
      </c>
      <c r="C7" s="22" t="n">
        <v>1</v>
      </c>
      <c r="D7" s="11" t="n">
        <f aca="false">$C7*'Buy Plan'!$C$5</f>
        <v>2250</v>
      </c>
      <c r="E7" s="11" t="n">
        <f aca="false">$C7*'Buy Plan'!$C$6</f>
        <v>750</v>
      </c>
      <c r="F7" s="11" t="n">
        <f aca="false">$C7*'Buy Plan'!$C$7</f>
        <v>750</v>
      </c>
      <c r="G7" s="11" t="n">
        <f aca="false">$C7*'Buy Plan'!$C$8</f>
        <v>500</v>
      </c>
      <c r="H7" s="11" t="n">
        <f aca="false">$C7*'Buy Plan'!$C$9</f>
        <v>250</v>
      </c>
      <c r="I7" s="11" t="n">
        <f aca="false">$C7*'Buy Plan'!$C$10</f>
        <v>250</v>
      </c>
      <c r="J7" s="11" t="n">
        <f aca="false">$C7*'Buy Plan'!$C$11</f>
        <v>250</v>
      </c>
      <c r="K7" s="11" t="n">
        <f aca="false">SUM(D7:J7)</f>
        <v>5000</v>
      </c>
      <c r="L7" s="11" t="n">
        <f aca="false">L6+K7</f>
        <v>15000</v>
      </c>
      <c r="M7" s="10" t="n">
        <v>0</v>
      </c>
      <c r="N7" s="23" t="s">
        <v>83</v>
      </c>
      <c r="O7" s="24"/>
    </row>
    <row r="8" customFormat="false" ht="15" hidden="false" customHeight="false" outlineLevel="0" collapsed="false">
      <c r="A8" s="21" t="s">
        <v>84</v>
      </c>
      <c r="B8" s="10" t="n">
        <v>0.1</v>
      </c>
      <c r="C8" s="22" t="n">
        <v>1</v>
      </c>
      <c r="D8" s="11" t="n">
        <f aca="false">$C8*'Buy Plan'!$C$5</f>
        <v>2250</v>
      </c>
      <c r="E8" s="11" t="n">
        <f aca="false">$C8*'Buy Plan'!$C$6</f>
        <v>750</v>
      </c>
      <c r="F8" s="11" t="n">
        <f aca="false">$C8*'Buy Plan'!$C$7</f>
        <v>750</v>
      </c>
      <c r="G8" s="11" t="n">
        <f aca="false">$C8*'Buy Plan'!$C$8</f>
        <v>500</v>
      </c>
      <c r="H8" s="11" t="n">
        <f aca="false">$C8*'Buy Plan'!$C$9</f>
        <v>250</v>
      </c>
      <c r="I8" s="11" t="n">
        <f aca="false">$C8*'Buy Plan'!$C$10</f>
        <v>250</v>
      </c>
      <c r="J8" s="11" t="n">
        <f aca="false">$C8*'Buy Plan'!$C$11</f>
        <v>250</v>
      </c>
      <c r="K8" s="11" t="n">
        <f aca="false">SUM(D8:J8)</f>
        <v>5000</v>
      </c>
      <c r="L8" s="11" t="n">
        <f aca="false">L7+K8</f>
        <v>20000</v>
      </c>
      <c r="M8" s="10" t="n">
        <v>0</v>
      </c>
      <c r="N8" s="23" t="s">
        <v>81</v>
      </c>
      <c r="O8" s="24"/>
    </row>
    <row r="9" customFormat="false" ht="15" hidden="false" customHeight="false" outlineLevel="0" collapsed="false">
      <c r="A9" s="21" t="s">
        <v>85</v>
      </c>
      <c r="B9" s="10" t="n">
        <v>0.02</v>
      </c>
      <c r="C9" s="22" t="n">
        <v>1</v>
      </c>
      <c r="D9" s="11" t="n">
        <f aca="false">$C9*'Buy Plan'!$C$5</f>
        <v>2250</v>
      </c>
      <c r="E9" s="11" t="n">
        <f aca="false">$C9*'Buy Plan'!$C$6</f>
        <v>750</v>
      </c>
      <c r="F9" s="11" t="n">
        <f aca="false">$C9*'Buy Plan'!$C$7</f>
        <v>750</v>
      </c>
      <c r="G9" s="11" t="n">
        <f aca="false">$C9*'Buy Plan'!$C$8</f>
        <v>500</v>
      </c>
      <c r="H9" s="11" t="n">
        <f aca="false">$C9*'Buy Plan'!$C$9</f>
        <v>250</v>
      </c>
      <c r="I9" s="11" t="n">
        <f aca="false">$C9*'Buy Plan'!$C$10</f>
        <v>250</v>
      </c>
      <c r="J9" s="11" t="n">
        <f aca="false">$C9*'Buy Plan'!$C$11</f>
        <v>250</v>
      </c>
      <c r="K9" s="11" t="n">
        <f aca="false">SUM(D9:J9)</f>
        <v>5000</v>
      </c>
      <c r="L9" s="11" t="n">
        <f aca="false">L8+K9</f>
        <v>25000</v>
      </c>
      <c r="M9" s="10" t="n">
        <v>0</v>
      </c>
      <c r="N9" s="23" t="s">
        <v>81</v>
      </c>
      <c r="O9" s="24"/>
    </row>
    <row r="10" customFormat="false" ht="15" hidden="false" customHeight="false" outlineLevel="0" collapsed="false">
      <c r="A10" s="21" t="s">
        <v>86</v>
      </c>
      <c r="B10" s="10" t="n">
        <v>-0.04</v>
      </c>
      <c r="C10" s="22" t="n">
        <v>1</v>
      </c>
      <c r="D10" s="11" t="n">
        <f aca="false">$C10*'Buy Plan'!$C$5</f>
        <v>2250</v>
      </c>
      <c r="E10" s="11" t="n">
        <f aca="false">$C10*'Buy Plan'!$C$6</f>
        <v>750</v>
      </c>
      <c r="F10" s="11" t="n">
        <f aca="false">$C10*'Buy Plan'!$C$7</f>
        <v>750</v>
      </c>
      <c r="G10" s="11" t="n">
        <f aca="false">$C10*'Buy Plan'!$C$8</f>
        <v>500</v>
      </c>
      <c r="H10" s="11" t="n">
        <f aca="false">$C10*'Buy Plan'!$C$9</f>
        <v>250</v>
      </c>
      <c r="I10" s="11" t="n">
        <f aca="false">$C10*'Buy Plan'!$C$10</f>
        <v>250</v>
      </c>
      <c r="J10" s="11" t="n">
        <f aca="false">$C10*'Buy Plan'!$C$11</f>
        <v>250</v>
      </c>
      <c r="K10" s="11" t="n">
        <f aca="false">SUM(D10:J10)</f>
        <v>5000</v>
      </c>
      <c r="L10" s="11" t="n">
        <f aca="false">L9+K10</f>
        <v>30000</v>
      </c>
      <c r="M10" s="10" t="n">
        <v>0</v>
      </c>
      <c r="N10" s="23" t="s">
        <v>87</v>
      </c>
      <c r="O10" s="24"/>
    </row>
    <row r="11" customFormat="false" ht="15" hidden="false" customHeight="false" outlineLevel="0" collapsed="false">
      <c r="A11" s="21" t="s">
        <v>88</v>
      </c>
      <c r="B11" s="10" t="n">
        <v>-0.12</v>
      </c>
      <c r="C11" s="22" t="n">
        <v>1</v>
      </c>
      <c r="D11" s="11" t="n">
        <f aca="false">$C11*'Buy Plan'!$C$5</f>
        <v>2250</v>
      </c>
      <c r="E11" s="11" t="n">
        <f aca="false">$C11*'Buy Plan'!$C$6</f>
        <v>750</v>
      </c>
      <c r="F11" s="11" t="n">
        <f aca="false">$C11*'Buy Plan'!$C$7</f>
        <v>750</v>
      </c>
      <c r="G11" s="11" t="n">
        <f aca="false">$C11*'Buy Plan'!$C$8</f>
        <v>500</v>
      </c>
      <c r="H11" s="11" t="n">
        <f aca="false">$C11*'Buy Plan'!$C$9</f>
        <v>250</v>
      </c>
      <c r="I11" s="11" t="n">
        <f aca="false">$C11*'Buy Plan'!$C$10</f>
        <v>250</v>
      </c>
      <c r="J11" s="11" t="n">
        <f aca="false">$C11*'Buy Plan'!$C$11</f>
        <v>250</v>
      </c>
      <c r="K11" s="11" t="n">
        <f aca="false">SUM(D11:J11)</f>
        <v>5000</v>
      </c>
      <c r="L11" s="11" t="n">
        <f aca="false">L10+K11</f>
        <v>35000</v>
      </c>
      <c r="M11" s="10" t="n">
        <v>0</v>
      </c>
      <c r="N11" s="23" t="s">
        <v>89</v>
      </c>
      <c r="O11" s="24"/>
    </row>
    <row r="12" customFormat="false" ht="15" hidden="false" customHeight="false" outlineLevel="0" collapsed="false">
      <c r="A12" s="21" t="s">
        <v>90</v>
      </c>
      <c r="B12" s="10" t="n">
        <v>0.07</v>
      </c>
      <c r="C12" s="22" t="n">
        <v>1</v>
      </c>
      <c r="D12" s="11" t="n">
        <f aca="false">$C12*'Buy Plan'!$C$5</f>
        <v>2250</v>
      </c>
      <c r="E12" s="11" t="n">
        <f aca="false">$C12*'Buy Plan'!$C$6</f>
        <v>750</v>
      </c>
      <c r="F12" s="11" t="n">
        <f aca="false">$C12*'Buy Plan'!$C$7</f>
        <v>750</v>
      </c>
      <c r="G12" s="11" t="n">
        <f aca="false">$C12*'Buy Plan'!$C$8</f>
        <v>500</v>
      </c>
      <c r="H12" s="11" t="n">
        <f aca="false">$C12*'Buy Plan'!$C$9</f>
        <v>250</v>
      </c>
      <c r="I12" s="11" t="n">
        <f aca="false">$C12*'Buy Plan'!$C$10</f>
        <v>250</v>
      </c>
      <c r="J12" s="11" t="n">
        <f aca="false">$C12*'Buy Plan'!$C$11</f>
        <v>250</v>
      </c>
      <c r="K12" s="11" t="n">
        <f aca="false">SUM(D12:J12)</f>
        <v>5000</v>
      </c>
      <c r="L12" s="11" t="n">
        <f aca="false">L11+K12</f>
        <v>40000</v>
      </c>
      <c r="M12" s="10" t="n">
        <v>0</v>
      </c>
      <c r="N12" s="23" t="s">
        <v>81</v>
      </c>
      <c r="O12" s="24"/>
    </row>
    <row r="13" customFormat="false" ht="15" hidden="false" customHeight="false" outlineLevel="0" collapsed="false">
      <c r="A13" s="21" t="s">
        <v>91</v>
      </c>
      <c r="B13" s="10" t="n">
        <v>0.05</v>
      </c>
      <c r="C13" s="22" t="n">
        <v>1</v>
      </c>
      <c r="D13" s="11" t="n">
        <f aca="false">$C13*'Buy Plan'!$C$5</f>
        <v>2250</v>
      </c>
      <c r="E13" s="11" t="n">
        <f aca="false">$C13*'Buy Plan'!$C$6</f>
        <v>750</v>
      </c>
      <c r="F13" s="11" t="n">
        <f aca="false">$C13*'Buy Plan'!$C$7</f>
        <v>750</v>
      </c>
      <c r="G13" s="11" t="n">
        <f aca="false">$C13*'Buy Plan'!$C$8</f>
        <v>500</v>
      </c>
      <c r="H13" s="11" t="n">
        <f aca="false">$C13*'Buy Plan'!$C$9</f>
        <v>250</v>
      </c>
      <c r="I13" s="11" t="n">
        <f aca="false">$C13*'Buy Plan'!$C$10</f>
        <v>250</v>
      </c>
      <c r="J13" s="11" t="n">
        <f aca="false">$C13*'Buy Plan'!$C$11</f>
        <v>250</v>
      </c>
      <c r="K13" s="11" t="n">
        <f aca="false">SUM(D13:J13)</f>
        <v>5000</v>
      </c>
      <c r="L13" s="11" t="n">
        <f aca="false">L12+K13</f>
        <v>45000</v>
      </c>
      <c r="M13" s="10" t="n">
        <v>0</v>
      </c>
      <c r="N13" s="23" t="s">
        <v>81</v>
      </c>
      <c r="O13" s="24"/>
    </row>
    <row r="14" customFormat="false" ht="15" hidden="false" customHeight="false" outlineLevel="0" collapsed="false">
      <c r="A14" s="21" t="s">
        <v>92</v>
      </c>
      <c r="B14" s="10" t="n">
        <v>0.02</v>
      </c>
      <c r="C14" s="22" t="n">
        <v>1</v>
      </c>
      <c r="D14" s="11" t="n">
        <f aca="false">$C14*'Buy Plan'!$C$5</f>
        <v>2250</v>
      </c>
      <c r="E14" s="11" t="n">
        <f aca="false">$C14*'Buy Plan'!$C$6</f>
        <v>750</v>
      </c>
      <c r="F14" s="11" t="n">
        <f aca="false">$C14*'Buy Plan'!$C$7</f>
        <v>750</v>
      </c>
      <c r="G14" s="11" t="n">
        <f aca="false">$C14*'Buy Plan'!$C$8</f>
        <v>500</v>
      </c>
      <c r="H14" s="11" t="n">
        <f aca="false">$C14*'Buy Plan'!$C$9</f>
        <v>250</v>
      </c>
      <c r="I14" s="11" t="n">
        <f aca="false">$C14*'Buy Plan'!$C$10</f>
        <v>250</v>
      </c>
      <c r="J14" s="11" t="n">
        <f aca="false">$C14*'Buy Plan'!$C$11</f>
        <v>250</v>
      </c>
      <c r="K14" s="11" t="n">
        <f aca="false">SUM(D14:J14)</f>
        <v>5000</v>
      </c>
      <c r="L14" s="11" t="n">
        <f aca="false">L13+K14</f>
        <v>50000</v>
      </c>
      <c r="M14" s="10" t="n">
        <v>0</v>
      </c>
      <c r="N14" s="23" t="s">
        <v>81</v>
      </c>
      <c r="O14" s="24"/>
    </row>
    <row r="15" customFormat="false" ht="15" hidden="false" customHeight="false" outlineLevel="0" collapsed="false">
      <c r="A15" s="21" t="s">
        <v>93</v>
      </c>
      <c r="B15" s="10" t="n">
        <v>0.21</v>
      </c>
      <c r="C15" s="22" t="n">
        <v>1</v>
      </c>
      <c r="D15" s="11" t="n">
        <f aca="false">$C15*'Buy Plan'!$C$5</f>
        <v>2250</v>
      </c>
      <c r="E15" s="11" t="n">
        <f aca="false">$C15*'Buy Plan'!$C$6</f>
        <v>750</v>
      </c>
      <c r="F15" s="11" t="n">
        <f aca="false">$C15*'Buy Plan'!$C$7</f>
        <v>750</v>
      </c>
      <c r="G15" s="11" t="n">
        <f aca="false">$C15*'Buy Plan'!$C$8</f>
        <v>500</v>
      </c>
      <c r="H15" s="11" t="n">
        <f aca="false">$C15*'Buy Plan'!$C$9</f>
        <v>250</v>
      </c>
      <c r="I15" s="11" t="n">
        <f aca="false">$C15*'Buy Plan'!$C$10</f>
        <v>250</v>
      </c>
      <c r="J15" s="11" t="n">
        <f aca="false">$C15*'Buy Plan'!$C$11</f>
        <v>250</v>
      </c>
      <c r="K15" s="11" t="n">
        <f aca="false">SUM(D15:J15)</f>
        <v>5000</v>
      </c>
      <c r="L15" s="11" t="n">
        <f aca="false">L14+K15</f>
        <v>55000</v>
      </c>
      <c r="M15" s="10" t="n">
        <v>0</v>
      </c>
      <c r="N15" s="23" t="s">
        <v>94</v>
      </c>
      <c r="O15" s="24"/>
    </row>
    <row r="16" customFormat="false" ht="15" hidden="false" customHeight="false" outlineLevel="0" collapsed="false">
      <c r="A16" s="21" t="s">
        <v>95</v>
      </c>
      <c r="B16" s="10" t="n">
        <v>-0.04</v>
      </c>
      <c r="C16" s="22" t="n">
        <v>1</v>
      </c>
      <c r="D16" s="11" t="n">
        <f aca="false">$C16*'Buy Plan'!$C$5</f>
        <v>2250</v>
      </c>
      <c r="E16" s="11" t="n">
        <f aca="false">$C16*'Buy Plan'!$C$6</f>
        <v>750</v>
      </c>
      <c r="F16" s="11" t="n">
        <f aca="false">$C16*'Buy Plan'!$C$7</f>
        <v>750</v>
      </c>
      <c r="G16" s="11" t="n">
        <f aca="false">$C16*'Buy Plan'!$C$8</f>
        <v>500</v>
      </c>
      <c r="H16" s="11" t="n">
        <f aca="false">$C16*'Buy Plan'!$C$9</f>
        <v>250</v>
      </c>
      <c r="I16" s="11" t="n">
        <f aca="false">$C16*'Buy Plan'!$C$10</f>
        <v>250</v>
      </c>
      <c r="J16" s="11" t="n">
        <f aca="false">$C16*'Buy Plan'!$C$11</f>
        <v>250</v>
      </c>
      <c r="K16" s="11" t="n">
        <f aca="false">SUM(D16:J16)</f>
        <v>5000</v>
      </c>
      <c r="L16" s="11" t="n">
        <f aca="false">L15+K16</f>
        <v>60000</v>
      </c>
      <c r="M16" s="10" t="n">
        <v>0</v>
      </c>
      <c r="N16" s="23" t="s">
        <v>96</v>
      </c>
      <c r="O16" s="24"/>
    </row>
    <row r="17" customFormat="false" ht="15" hidden="false" customHeight="false" outlineLevel="0" collapsed="false">
      <c r="A17" s="3" t="s">
        <v>97</v>
      </c>
      <c r="B17" s="10" t="n">
        <v>0.09</v>
      </c>
      <c r="C17" s="22" t="n">
        <v>0</v>
      </c>
      <c r="D17" s="11" t="n">
        <f aca="false">$C17*'Buy Plan'!$C$5</f>
        <v>0</v>
      </c>
      <c r="E17" s="11" t="n">
        <f aca="false">$C17*'Buy Plan'!$C$6</f>
        <v>0</v>
      </c>
      <c r="F17" s="11" t="n">
        <f aca="false">$C17*'Buy Plan'!$C$7</f>
        <v>0</v>
      </c>
      <c r="G17" s="11" t="n">
        <f aca="false">$C17*'Buy Plan'!$C$8</f>
        <v>0</v>
      </c>
      <c r="H17" s="11" t="n">
        <f aca="false">$C17*'Buy Plan'!$C$9</f>
        <v>0</v>
      </c>
      <c r="I17" s="11" t="n">
        <f aca="false">$C17*'Buy Plan'!$C$10</f>
        <v>0</v>
      </c>
      <c r="J17" s="11" t="n">
        <f aca="false">$C17*'Buy Plan'!$C$11</f>
        <v>0</v>
      </c>
      <c r="K17" s="11" t="n">
        <f aca="false">SUM(D17:J17)</f>
        <v>0</v>
      </c>
      <c r="L17" s="11" t="n">
        <f aca="false">L16+K17</f>
        <v>60000</v>
      </c>
      <c r="M17" s="10" t="n">
        <v>0</v>
      </c>
      <c r="N17" s="14" t="s">
        <v>98</v>
      </c>
      <c r="O17" s="24"/>
    </row>
    <row r="18" customFormat="false" ht="15" hidden="false" customHeight="false" outlineLevel="0" collapsed="false">
      <c r="A18" s="3" t="s">
        <v>99</v>
      </c>
      <c r="B18" s="10" t="n">
        <v>0.26</v>
      </c>
      <c r="C18" s="22" t="n">
        <v>0</v>
      </c>
      <c r="D18" s="11" t="n">
        <f aca="false">$C18*'Buy Plan'!$C$5</f>
        <v>0</v>
      </c>
      <c r="E18" s="11" t="n">
        <f aca="false">$C18*'Buy Plan'!$C$6</f>
        <v>0</v>
      </c>
      <c r="F18" s="11" t="n">
        <f aca="false">$C18*'Buy Plan'!$C$7</f>
        <v>0</v>
      </c>
      <c r="G18" s="11" t="n">
        <f aca="false">$C18*'Buy Plan'!$C$8</f>
        <v>0</v>
      </c>
      <c r="H18" s="11" t="n">
        <f aca="false">$C18*'Buy Plan'!$C$9</f>
        <v>0</v>
      </c>
      <c r="I18" s="11" t="n">
        <f aca="false">$C18*'Buy Plan'!$C$10</f>
        <v>0</v>
      </c>
      <c r="J18" s="11" t="n">
        <f aca="false">$C18*'Buy Plan'!$C$11</f>
        <v>0</v>
      </c>
      <c r="K18" s="11" t="n">
        <f aca="false">SUM(D18:J18)</f>
        <v>0</v>
      </c>
      <c r="L18" s="11" t="n">
        <f aca="false">L17+K18</f>
        <v>60000</v>
      </c>
      <c r="M18" s="10" t="n">
        <v>0</v>
      </c>
      <c r="N18" s="14" t="s">
        <v>100</v>
      </c>
      <c r="O18" s="24"/>
    </row>
    <row r="19" customFormat="false" ht="15" hidden="false" customHeight="false" outlineLevel="0" collapsed="false">
      <c r="A19" s="25" t="s">
        <v>101</v>
      </c>
      <c r="B19" s="10" t="n">
        <v>-0.03</v>
      </c>
      <c r="C19" s="22" t="n">
        <v>0</v>
      </c>
      <c r="D19" s="11" t="n">
        <f aca="false">$C19*'Buy Plan'!$C$5</f>
        <v>0</v>
      </c>
      <c r="E19" s="11" t="n">
        <f aca="false">$C19*'Buy Plan'!$C$6</f>
        <v>0</v>
      </c>
      <c r="F19" s="11" t="n">
        <f aca="false">$C19*'Buy Plan'!$C$7</f>
        <v>0</v>
      </c>
      <c r="G19" s="11" t="n">
        <f aca="false">$C19*'Buy Plan'!$C$8</f>
        <v>0</v>
      </c>
      <c r="H19" s="11" t="n">
        <f aca="false">$C19*'Buy Plan'!$C$9</f>
        <v>0</v>
      </c>
      <c r="I19" s="11" t="n">
        <f aca="false">$C19*'Buy Plan'!$C$10</f>
        <v>0</v>
      </c>
      <c r="J19" s="11" t="n">
        <f aca="false">$C19*'Buy Plan'!$C$11</f>
        <v>0</v>
      </c>
      <c r="K19" s="11" t="n">
        <f aca="false">SUM(D19:J19)</f>
        <v>0</v>
      </c>
      <c r="L19" s="11" t="n">
        <f aca="false">L18+K19</f>
        <v>60000</v>
      </c>
      <c r="M19" s="10" t="n">
        <v>0.1</v>
      </c>
      <c r="N19" s="26" t="s">
        <v>102</v>
      </c>
      <c r="O19" s="24"/>
    </row>
    <row r="20" customFormat="false" ht="15" hidden="false" customHeight="false" outlineLevel="0" collapsed="false">
      <c r="A20" s="3" t="s">
        <v>103</v>
      </c>
      <c r="B20" s="10" t="n">
        <v>0.04</v>
      </c>
      <c r="C20" s="22" t="n">
        <v>0</v>
      </c>
      <c r="D20" s="11" t="n">
        <f aca="false">$C20*'Buy Plan'!$C$5</f>
        <v>0</v>
      </c>
      <c r="E20" s="11" t="n">
        <f aca="false">$C20*'Buy Plan'!$C$6</f>
        <v>0</v>
      </c>
      <c r="F20" s="11" t="n">
        <f aca="false">$C20*'Buy Plan'!$C$7</f>
        <v>0</v>
      </c>
      <c r="G20" s="11" t="n">
        <f aca="false">$C20*'Buy Plan'!$C$8</f>
        <v>0</v>
      </c>
      <c r="H20" s="11" t="n">
        <f aca="false">$C20*'Buy Plan'!$C$9</f>
        <v>0</v>
      </c>
      <c r="I20" s="11" t="n">
        <f aca="false">$C20*'Buy Plan'!$C$10</f>
        <v>0</v>
      </c>
      <c r="J20" s="11" t="n">
        <f aca="false">$C20*'Buy Plan'!$C$11</f>
        <v>0</v>
      </c>
      <c r="K20" s="11" t="n">
        <f aca="false">SUM(D20:J20)</f>
        <v>0</v>
      </c>
      <c r="L20" s="11" t="n">
        <f aca="false">L19+K20</f>
        <v>60000</v>
      </c>
      <c r="M20" s="10" t="n">
        <v>0</v>
      </c>
      <c r="N20" s="14" t="s">
        <v>104</v>
      </c>
      <c r="O20" s="24"/>
    </row>
    <row r="21" customFormat="false" ht="15" hidden="false" customHeight="false" outlineLevel="0" collapsed="false">
      <c r="A21" s="3" t="s">
        <v>105</v>
      </c>
      <c r="B21" s="10" t="n">
        <v>0.08</v>
      </c>
      <c r="C21" s="22" t="n">
        <v>0</v>
      </c>
      <c r="D21" s="11" t="n">
        <f aca="false">$C21*'Buy Plan'!$C$5</f>
        <v>0</v>
      </c>
      <c r="E21" s="11" t="n">
        <f aca="false">$C21*'Buy Plan'!$C$6</f>
        <v>0</v>
      </c>
      <c r="F21" s="11" t="n">
        <f aca="false">$C21*'Buy Plan'!$C$7</f>
        <v>0</v>
      </c>
      <c r="G21" s="11" t="n">
        <f aca="false">$C21*'Buy Plan'!$C$8</f>
        <v>0</v>
      </c>
      <c r="H21" s="11" t="n">
        <f aca="false">$C21*'Buy Plan'!$C$9</f>
        <v>0</v>
      </c>
      <c r="I21" s="11" t="n">
        <f aca="false">$C21*'Buy Plan'!$C$10</f>
        <v>0</v>
      </c>
      <c r="J21" s="11" t="n">
        <f aca="false">$C21*'Buy Plan'!$C$11</f>
        <v>0</v>
      </c>
      <c r="K21" s="11" t="n">
        <f aca="false">SUM(D21:J21)</f>
        <v>0</v>
      </c>
      <c r="L21" s="11" t="n">
        <f aca="false">L20+K21</f>
        <v>60000</v>
      </c>
      <c r="M21" s="10" t="n">
        <v>0</v>
      </c>
      <c r="N21" s="14" t="s">
        <v>100</v>
      </c>
      <c r="O21" s="24"/>
    </row>
    <row r="22" customFormat="false" ht="15" hidden="false" customHeight="false" outlineLevel="0" collapsed="false">
      <c r="A22" s="3" t="s">
        <v>106</v>
      </c>
      <c r="B22" s="10" t="n">
        <v>0.03</v>
      </c>
      <c r="C22" s="22" t="n">
        <v>0</v>
      </c>
      <c r="D22" s="11" t="n">
        <f aca="false">$C22*'Buy Plan'!$C$5</f>
        <v>0</v>
      </c>
      <c r="E22" s="11" t="n">
        <f aca="false">$C22*'Buy Plan'!$C$6</f>
        <v>0</v>
      </c>
      <c r="F22" s="11" t="n">
        <f aca="false">$C22*'Buy Plan'!$C$7</f>
        <v>0</v>
      </c>
      <c r="G22" s="11" t="n">
        <f aca="false">$C22*'Buy Plan'!$C$8</f>
        <v>0</v>
      </c>
      <c r="H22" s="11" t="n">
        <f aca="false">$C22*'Buy Plan'!$C$9</f>
        <v>0</v>
      </c>
      <c r="I22" s="11" t="n">
        <f aca="false">$C22*'Buy Plan'!$C$10</f>
        <v>0</v>
      </c>
      <c r="J22" s="11" t="n">
        <f aca="false">$C22*'Buy Plan'!$C$11</f>
        <v>0</v>
      </c>
      <c r="K22" s="11" t="n">
        <f aca="false">SUM(D22:J22)</f>
        <v>0</v>
      </c>
      <c r="L22" s="11" t="n">
        <f aca="false">L21+K22</f>
        <v>60000</v>
      </c>
      <c r="M22" s="10" t="n">
        <v>0</v>
      </c>
      <c r="N22" s="14" t="s">
        <v>100</v>
      </c>
      <c r="O22" s="24"/>
    </row>
    <row r="23" customFormat="false" ht="15" hidden="false" customHeight="false" outlineLevel="0" collapsed="false">
      <c r="A23" s="3" t="s">
        <v>107</v>
      </c>
      <c r="B23" s="10" t="n">
        <v>-0.08</v>
      </c>
      <c r="C23" s="22" t="n">
        <v>0</v>
      </c>
      <c r="D23" s="11" t="n">
        <f aca="false">$C23*'Buy Plan'!$C$5</f>
        <v>0</v>
      </c>
      <c r="E23" s="11" t="n">
        <f aca="false">$C23*'Buy Plan'!$C$6</f>
        <v>0</v>
      </c>
      <c r="F23" s="11" t="n">
        <f aca="false">$C23*'Buy Plan'!$C$7</f>
        <v>0</v>
      </c>
      <c r="G23" s="11" t="n">
        <f aca="false">$C23*'Buy Plan'!$C$8</f>
        <v>0</v>
      </c>
      <c r="H23" s="11" t="n">
        <f aca="false">$C23*'Buy Plan'!$C$9</f>
        <v>0</v>
      </c>
      <c r="I23" s="11" t="n">
        <f aca="false">$C23*'Buy Plan'!$C$10</f>
        <v>0</v>
      </c>
      <c r="J23" s="11" t="n">
        <f aca="false">$C23*'Buy Plan'!$C$11</f>
        <v>0</v>
      </c>
      <c r="K23" s="11" t="n">
        <f aca="false">SUM(D23:J23)</f>
        <v>0</v>
      </c>
      <c r="L23" s="11" t="n">
        <f aca="false">L22+K23</f>
        <v>60000</v>
      </c>
      <c r="M23" s="10" t="n">
        <v>0</v>
      </c>
      <c r="N23" s="14" t="s">
        <v>108</v>
      </c>
      <c r="O23" s="24"/>
    </row>
    <row r="24" customFormat="false" ht="15" hidden="false" customHeight="false" outlineLevel="0" collapsed="false">
      <c r="A24" s="3" t="s">
        <v>109</v>
      </c>
      <c r="B24" s="10" t="n">
        <v>0.18</v>
      </c>
      <c r="C24" s="22" t="n">
        <v>0</v>
      </c>
      <c r="D24" s="11" t="n">
        <f aca="false">$C24*'Buy Plan'!$C$5</f>
        <v>0</v>
      </c>
      <c r="E24" s="11" t="n">
        <f aca="false">$C24*'Buy Plan'!$C$6</f>
        <v>0</v>
      </c>
      <c r="F24" s="11" t="n">
        <f aca="false">$C24*'Buy Plan'!$C$7</f>
        <v>0</v>
      </c>
      <c r="G24" s="11" t="n">
        <f aca="false">$C24*'Buy Plan'!$C$8</f>
        <v>0</v>
      </c>
      <c r="H24" s="11" t="n">
        <f aca="false">$C24*'Buy Plan'!$C$9</f>
        <v>0</v>
      </c>
      <c r="I24" s="11" t="n">
        <f aca="false">$C24*'Buy Plan'!$C$10</f>
        <v>0</v>
      </c>
      <c r="J24" s="11" t="n">
        <f aca="false">$C24*'Buy Plan'!$C$11</f>
        <v>0</v>
      </c>
      <c r="K24" s="11" t="n">
        <f aca="false">SUM(D24:J24)</f>
        <v>0</v>
      </c>
      <c r="L24" s="11" t="n">
        <f aca="false">L23+K24</f>
        <v>60000</v>
      </c>
      <c r="M24" s="10" t="n">
        <v>0</v>
      </c>
      <c r="N24" s="14" t="s">
        <v>110</v>
      </c>
      <c r="O24" s="24"/>
    </row>
    <row r="25" customFormat="false" ht="15" hidden="false" customHeight="false" outlineLevel="0" collapsed="false">
      <c r="A25" s="25" t="s">
        <v>111</v>
      </c>
      <c r="B25" s="10" t="n">
        <v>0.27</v>
      </c>
      <c r="C25" s="22" t="n">
        <v>0</v>
      </c>
      <c r="D25" s="11" t="n">
        <f aca="false">$C25*'Buy Plan'!$C$5</f>
        <v>0</v>
      </c>
      <c r="E25" s="11" t="n">
        <f aca="false">$C25*'Buy Plan'!$C$6</f>
        <v>0</v>
      </c>
      <c r="F25" s="11" t="n">
        <f aca="false">$C25*'Buy Plan'!$C$7</f>
        <v>0</v>
      </c>
      <c r="G25" s="11" t="n">
        <f aca="false">$C25*'Buy Plan'!$C$8</f>
        <v>0</v>
      </c>
      <c r="H25" s="11" t="n">
        <f aca="false">$C25*'Buy Plan'!$C$9</f>
        <v>0</v>
      </c>
      <c r="I25" s="11" t="n">
        <f aca="false">$C25*'Buy Plan'!$C$10</f>
        <v>0</v>
      </c>
      <c r="J25" s="11" t="n">
        <f aca="false">$C25*'Buy Plan'!$C$11</f>
        <v>0</v>
      </c>
      <c r="K25" s="11" t="n">
        <f aca="false">SUM(D25:J25)</f>
        <v>0</v>
      </c>
      <c r="L25" s="11" t="n">
        <f aca="false">L24+K25</f>
        <v>60000</v>
      </c>
      <c r="M25" s="10" t="n">
        <v>0.1</v>
      </c>
      <c r="N25" s="26" t="s">
        <v>112</v>
      </c>
      <c r="O25" s="24"/>
    </row>
    <row r="26" customFormat="false" ht="15" hidden="false" customHeight="false" outlineLevel="0" collapsed="false">
      <c r="A26" s="25" t="s">
        <v>113</v>
      </c>
      <c r="B26" s="10" t="n">
        <v>0.42</v>
      </c>
      <c r="C26" s="22" t="n">
        <v>0</v>
      </c>
      <c r="D26" s="11" t="n">
        <f aca="false">$C26*'Buy Plan'!$C$5</f>
        <v>0</v>
      </c>
      <c r="E26" s="11" t="n">
        <f aca="false">$C26*'Buy Plan'!$C$6</f>
        <v>0</v>
      </c>
      <c r="F26" s="11" t="n">
        <f aca="false">$C26*'Buy Plan'!$C$7</f>
        <v>0</v>
      </c>
      <c r="G26" s="11" t="n">
        <f aca="false">$C26*'Buy Plan'!$C$8</f>
        <v>0</v>
      </c>
      <c r="H26" s="11" t="n">
        <f aca="false">$C26*'Buy Plan'!$C$9</f>
        <v>0</v>
      </c>
      <c r="I26" s="11" t="n">
        <f aca="false">$C26*'Buy Plan'!$C$10</f>
        <v>0</v>
      </c>
      <c r="J26" s="11" t="n">
        <f aca="false">$C26*'Buy Plan'!$C$11</f>
        <v>0</v>
      </c>
      <c r="K26" s="11" t="n">
        <f aca="false">SUM(D26:J26)</f>
        <v>0</v>
      </c>
      <c r="L26" s="11" t="n">
        <f aca="false">L25+K26</f>
        <v>60000</v>
      </c>
      <c r="M26" s="10" t="n">
        <v>0.15</v>
      </c>
      <c r="N26" s="26" t="s">
        <v>114</v>
      </c>
      <c r="O26" s="24"/>
    </row>
    <row r="27" customFormat="false" ht="15" hidden="false" customHeight="false" outlineLevel="0" collapsed="false">
      <c r="A27" s="25" t="s">
        <v>115</v>
      </c>
      <c r="B27" s="10" t="n">
        <v>0.06</v>
      </c>
      <c r="C27" s="22" t="n">
        <v>0</v>
      </c>
      <c r="D27" s="11" t="n">
        <f aca="false">$C27*'Buy Plan'!$C$5</f>
        <v>0</v>
      </c>
      <c r="E27" s="11" t="n">
        <f aca="false">$C27*'Buy Plan'!$C$6</f>
        <v>0</v>
      </c>
      <c r="F27" s="11" t="n">
        <f aca="false">$C27*'Buy Plan'!$C$7</f>
        <v>0</v>
      </c>
      <c r="G27" s="11" t="n">
        <f aca="false">$C27*'Buy Plan'!$C$8</f>
        <v>0</v>
      </c>
      <c r="H27" s="11" t="n">
        <f aca="false">$C27*'Buy Plan'!$C$9</f>
        <v>0</v>
      </c>
      <c r="I27" s="11" t="n">
        <f aca="false">$C27*'Buy Plan'!$C$10</f>
        <v>0</v>
      </c>
      <c r="J27" s="11" t="n">
        <f aca="false">$C27*'Buy Plan'!$C$11</f>
        <v>0</v>
      </c>
      <c r="K27" s="11" t="n">
        <f aca="false">SUM(D27:J27)</f>
        <v>0</v>
      </c>
      <c r="L27" s="11" t="n">
        <f aca="false">L26+K27</f>
        <v>60000</v>
      </c>
      <c r="M27" s="10" t="n">
        <v>0.1</v>
      </c>
      <c r="N27" s="26" t="s">
        <v>116</v>
      </c>
      <c r="O27" s="24"/>
    </row>
    <row r="28" customFormat="false" ht="15" hidden="false" customHeight="false" outlineLevel="0" collapsed="false">
      <c r="A28" s="25" t="s">
        <v>117</v>
      </c>
      <c r="B28" s="10" t="n">
        <v>0.23</v>
      </c>
      <c r="C28" s="22" t="n">
        <v>0</v>
      </c>
      <c r="D28" s="11" t="n">
        <f aca="false">$C28*'Buy Plan'!$C$5</f>
        <v>0</v>
      </c>
      <c r="E28" s="11" t="n">
        <f aca="false">$C28*'Buy Plan'!$C$6</f>
        <v>0</v>
      </c>
      <c r="F28" s="11" t="n">
        <f aca="false">$C28*'Buy Plan'!$C$7</f>
        <v>0</v>
      </c>
      <c r="G28" s="11" t="n">
        <f aca="false">$C28*'Buy Plan'!$C$8</f>
        <v>0</v>
      </c>
      <c r="H28" s="11" t="n">
        <f aca="false">$C28*'Buy Plan'!$C$9</f>
        <v>0</v>
      </c>
      <c r="I28" s="11" t="n">
        <f aca="false">$C28*'Buy Plan'!$C$10</f>
        <v>0</v>
      </c>
      <c r="J28" s="11" t="n">
        <f aca="false">$C28*'Buy Plan'!$C$11</f>
        <v>0</v>
      </c>
      <c r="K28" s="11" t="n">
        <f aca="false">SUM(D28:J28)</f>
        <v>0</v>
      </c>
      <c r="L28" s="11" t="n">
        <f aca="false">L27+K28</f>
        <v>60000</v>
      </c>
      <c r="M28" s="10" t="n">
        <v>0.15</v>
      </c>
      <c r="N28" s="26" t="s">
        <v>118</v>
      </c>
      <c r="O28" s="24"/>
    </row>
    <row r="29" customFormat="false" ht="15" hidden="false" customHeight="false" outlineLevel="0" collapsed="false">
      <c r="A29" s="3" t="s">
        <v>41</v>
      </c>
      <c r="D29" s="16" t="n">
        <f aca="false">SUM(D5:D28)</f>
        <v>27000</v>
      </c>
      <c r="E29" s="16" t="n">
        <f aca="false">SUM(E5:E28)</f>
        <v>9000</v>
      </c>
      <c r="F29" s="16" t="n">
        <f aca="false">SUM(F5:F28)</f>
        <v>9000</v>
      </c>
      <c r="G29" s="16" t="n">
        <f aca="false">SUM(G5:G28)</f>
        <v>6000</v>
      </c>
      <c r="H29" s="16" t="n">
        <f aca="false">SUM(H5:H28)</f>
        <v>3000</v>
      </c>
      <c r="I29" s="16" t="n">
        <f aca="false">SUM(I5:I28)</f>
        <v>3000</v>
      </c>
      <c r="J29" s="16" t="n">
        <f aca="false">SUM(J5:J28)</f>
        <v>3000</v>
      </c>
      <c r="K29" s="16" t="n">
        <f aca="false">SUM(K5:K28)</f>
        <v>60000</v>
      </c>
      <c r="M29" s="15" t="n">
        <f aca="false">SUM(M5:M28)</f>
        <v>0.6</v>
      </c>
    </row>
    <row r="31" customFormat="false" ht="15" hidden="false" customHeight="false" outlineLevel="0" collapsed="false">
      <c r="A31" s="2" t="s">
        <v>119</v>
      </c>
    </row>
    <row r="32" customFormat="false" ht="15" hidden="false" customHeight="false" outlineLevel="0" collapsed="false">
      <c r="A32" s="2" t="s">
        <v>120</v>
      </c>
    </row>
    <row r="33" customFormat="false" ht="15" hidden="false" customHeight="false" outlineLevel="0" collapsed="false">
      <c r="A33" s="2" t="s">
        <v>121</v>
      </c>
    </row>
  </sheetData>
  <conditionalFormatting sqref="B5:B2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9" t="s">
        <v>18</v>
      </c>
      <c r="B4" s="9" t="s">
        <v>124</v>
      </c>
      <c r="C4" s="9" t="s">
        <v>125</v>
      </c>
      <c r="D4" s="9" t="s">
        <v>126</v>
      </c>
      <c r="E4" s="9" t="s">
        <v>127</v>
      </c>
      <c r="F4" s="9" t="s">
        <v>128</v>
      </c>
      <c r="G4" s="9" t="s">
        <v>129</v>
      </c>
      <c r="H4" s="9" t="s">
        <v>130</v>
      </c>
      <c r="I4" s="9" t="s">
        <v>131</v>
      </c>
      <c r="J4" s="9" t="s">
        <v>132</v>
      </c>
      <c r="K4" s="9" t="s">
        <v>133</v>
      </c>
      <c r="L4" s="9" t="s">
        <v>134</v>
      </c>
      <c r="M4" s="9" t="s">
        <v>135</v>
      </c>
      <c r="N4" s="9" t="s">
        <v>136</v>
      </c>
    </row>
    <row r="5" customFormat="false" ht="15" hidden="false" customHeight="false" outlineLevel="0" collapsed="false">
      <c r="A5" s="19" t="str">
        <f aca="false">Inputs!A14</f>
        <v>BTC</v>
      </c>
      <c r="B5" s="27" t="n">
        <f aca="false">Inputs!D14</f>
        <v>80710</v>
      </c>
      <c r="C5" s="12" t="n">
        <v>110000</v>
      </c>
      <c r="D5" s="13" t="n">
        <f aca="false">C5*Inputs!$B$4</f>
        <v>10648000</v>
      </c>
      <c r="E5" s="28" t="n">
        <f aca="false">IFERROR(C5/B5,0)</f>
        <v>1.3629042250031</v>
      </c>
      <c r="F5" s="12" t="n">
        <v>130000</v>
      </c>
      <c r="G5" s="13" t="n">
        <f aca="false">F5*Inputs!$B$4</f>
        <v>12584000</v>
      </c>
      <c r="H5" s="28" t="n">
        <f aca="false">IFERROR(F5/B5,0)</f>
        <v>1.61070499318548</v>
      </c>
      <c r="I5" s="12" t="n">
        <v>160000</v>
      </c>
      <c r="J5" s="13" t="n">
        <f aca="false">I5*Inputs!$B$4</f>
        <v>15488000</v>
      </c>
      <c r="K5" s="28" t="n">
        <f aca="false">IFERROR(I5/B5,0)</f>
        <v>1.98240614545905</v>
      </c>
      <c r="L5" s="10" t="n">
        <v>0.2</v>
      </c>
      <c r="M5" s="10" t="n">
        <v>0.3</v>
      </c>
      <c r="N5" s="29" t="n">
        <f aca="false">I5*(1-M5)</f>
        <v>112000</v>
      </c>
    </row>
    <row r="6" customFormat="false" ht="15" hidden="false" customHeight="false" outlineLevel="0" collapsed="false">
      <c r="A6" s="19" t="str">
        <f aca="false">Inputs!A15</f>
        <v>ETH</v>
      </c>
      <c r="B6" s="27" t="n">
        <f aca="false">Inputs!D15</f>
        <v>2418</v>
      </c>
      <c r="C6" s="12" t="n">
        <v>3800</v>
      </c>
      <c r="D6" s="13" t="n">
        <f aca="false">C6*Inputs!$B$4</f>
        <v>367840</v>
      </c>
      <c r="E6" s="28" t="n">
        <f aca="false">IFERROR(C6/B6,0)</f>
        <v>1.57154673283706</v>
      </c>
      <c r="F6" s="12" t="n">
        <v>4800</v>
      </c>
      <c r="G6" s="13" t="n">
        <f aca="false">F6*Inputs!$B$4</f>
        <v>464640</v>
      </c>
      <c r="H6" s="28" t="n">
        <f aca="false">IFERROR(F6/B6,0)</f>
        <v>1.98511166253102</v>
      </c>
      <c r="I6" s="12" t="n">
        <v>6000</v>
      </c>
      <c r="J6" s="13" t="n">
        <f aca="false">I6*Inputs!$B$4</f>
        <v>580800</v>
      </c>
      <c r="K6" s="28" t="n">
        <f aca="false">IFERROR(I6/B6,0)</f>
        <v>2.48138957816377</v>
      </c>
      <c r="L6" s="10" t="n">
        <v>0.2</v>
      </c>
      <c r="M6" s="10" t="n">
        <v>0.3</v>
      </c>
      <c r="N6" s="29" t="n">
        <f aca="false">I6*(1-M6)</f>
        <v>4200</v>
      </c>
    </row>
    <row r="7" customFormat="false" ht="15" hidden="false" customHeight="false" outlineLevel="0" collapsed="false">
      <c r="A7" s="19" t="str">
        <f aca="false">Inputs!A16</f>
        <v>SOL</v>
      </c>
      <c r="B7" s="27" t="n">
        <f aca="false">Inputs!D16</f>
        <v>106.5</v>
      </c>
      <c r="C7" s="12" t="n">
        <v>180</v>
      </c>
      <c r="D7" s="13" t="n">
        <f aca="false">C7*Inputs!$B$4</f>
        <v>17424</v>
      </c>
      <c r="E7" s="28" t="n">
        <f aca="false">IFERROR(C7/B7,0)</f>
        <v>1.69014084507042</v>
      </c>
      <c r="F7" s="12" t="n">
        <v>250</v>
      </c>
      <c r="G7" s="13" t="n">
        <f aca="false">F7*Inputs!$B$4</f>
        <v>24200</v>
      </c>
      <c r="H7" s="28" t="n">
        <f aca="false">IFERROR(F7/B7,0)</f>
        <v>2.34741784037559</v>
      </c>
      <c r="I7" s="12" t="n">
        <v>320</v>
      </c>
      <c r="J7" s="13" t="n">
        <f aca="false">I7*Inputs!$B$4</f>
        <v>30976</v>
      </c>
      <c r="K7" s="28" t="n">
        <f aca="false">IFERROR(I7/B7,0)</f>
        <v>3.00469483568075</v>
      </c>
      <c r="L7" s="10" t="n">
        <v>0.2</v>
      </c>
      <c r="M7" s="10" t="n">
        <v>0.3</v>
      </c>
      <c r="N7" s="29" t="n">
        <f aca="false">I7*(1-M7)</f>
        <v>224</v>
      </c>
    </row>
    <row r="8" customFormat="false" ht="15" hidden="false" customHeight="false" outlineLevel="0" collapsed="false">
      <c r="A8" s="19" t="str">
        <f aca="false">Inputs!A17</f>
        <v>BNB</v>
      </c>
      <c r="B8" s="27" t="n">
        <f aca="false">Inputs!D17</f>
        <v>722.4</v>
      </c>
      <c r="C8" s="12" t="n">
        <v>1000</v>
      </c>
      <c r="D8" s="13" t="n">
        <f aca="false">C8*Inputs!$B$4</f>
        <v>96800</v>
      </c>
      <c r="E8" s="28" t="n">
        <f aca="false">IFERROR(C8/B8,0)</f>
        <v>1.38427464008859</v>
      </c>
      <c r="F8" s="12" t="n">
        <v>1300</v>
      </c>
      <c r="G8" s="13" t="n">
        <f aca="false">F8*Inputs!$B$4</f>
        <v>125840</v>
      </c>
      <c r="H8" s="28" t="n">
        <f aca="false">IFERROR(F8/B8,0)</f>
        <v>1.79955703211517</v>
      </c>
      <c r="I8" s="12" t="n">
        <v>1600</v>
      </c>
      <c r="J8" s="13" t="n">
        <f aca="false">I8*Inputs!$B$4</f>
        <v>154880</v>
      </c>
      <c r="K8" s="28" t="n">
        <f aca="false">IFERROR(I8/B8,0)</f>
        <v>2.21483942414175</v>
      </c>
      <c r="L8" s="10" t="n">
        <v>0.2</v>
      </c>
      <c r="M8" s="10" t="n">
        <v>0.3</v>
      </c>
      <c r="N8" s="29" t="n">
        <f aca="false">I8*(1-M8)</f>
        <v>1120</v>
      </c>
    </row>
    <row r="9" customFormat="false" ht="15" hidden="false" customHeight="false" outlineLevel="0" collapsed="false">
      <c r="A9" s="19" t="str">
        <f aca="false">Inputs!A18</f>
        <v>TRX</v>
      </c>
      <c r="B9" s="27" t="n">
        <f aca="false">Inputs!D18</f>
        <v>0.333</v>
      </c>
      <c r="C9" s="12" t="n">
        <v>0.42</v>
      </c>
      <c r="D9" s="13" t="n">
        <f aca="false">C9*Inputs!$B$4</f>
        <v>40.656</v>
      </c>
      <c r="E9" s="28" t="n">
        <f aca="false">IFERROR(C9/B9,0)</f>
        <v>1.26126126126126</v>
      </c>
      <c r="F9" s="12" t="n">
        <v>0.5</v>
      </c>
      <c r="G9" s="13" t="n">
        <f aca="false">F9*Inputs!$B$4</f>
        <v>48.4</v>
      </c>
      <c r="H9" s="28" t="n">
        <f aca="false">IFERROR(F9/B9,0)</f>
        <v>1.5015015015015</v>
      </c>
      <c r="I9" s="12" t="n">
        <v>0.6</v>
      </c>
      <c r="J9" s="13" t="n">
        <f aca="false">I9*Inputs!$B$4</f>
        <v>58.08</v>
      </c>
      <c r="K9" s="28" t="n">
        <f aca="false">IFERROR(I9/B9,0)</f>
        <v>1.8018018018018</v>
      </c>
      <c r="L9" s="10" t="n">
        <v>0.2</v>
      </c>
      <c r="M9" s="10" t="n">
        <v>0.3</v>
      </c>
      <c r="N9" s="29" t="n">
        <f aca="false">I9*(1-M9)</f>
        <v>0.42</v>
      </c>
    </row>
    <row r="10" customFormat="false" ht="15" hidden="false" customHeight="false" outlineLevel="0" collapsed="false">
      <c r="A10" s="19" t="str">
        <f aca="false">Inputs!A19</f>
        <v>INJ</v>
      </c>
      <c r="B10" s="27" t="n">
        <f aca="false">Inputs!D19</f>
        <v>6.512</v>
      </c>
      <c r="C10" s="12" t="n">
        <v>15</v>
      </c>
      <c r="D10" s="13" t="n">
        <f aca="false">C10*Inputs!$B$4</f>
        <v>1452</v>
      </c>
      <c r="E10" s="28" t="n">
        <f aca="false">IFERROR(C10/B10,0)</f>
        <v>2.3034398034398</v>
      </c>
      <c r="F10" s="12" t="n">
        <v>25</v>
      </c>
      <c r="G10" s="13" t="n">
        <f aca="false">F10*Inputs!$B$4</f>
        <v>2420</v>
      </c>
      <c r="H10" s="28" t="n">
        <f aca="false">IFERROR(F10/B10,0)</f>
        <v>3.83906633906634</v>
      </c>
      <c r="I10" s="12" t="n">
        <v>40</v>
      </c>
      <c r="J10" s="13" t="n">
        <f aca="false">I10*Inputs!$B$4</f>
        <v>3872</v>
      </c>
      <c r="K10" s="28" t="n">
        <f aca="false">IFERROR(I10/B10,0)</f>
        <v>6.14250614250614</v>
      </c>
      <c r="L10" s="10" t="n">
        <v>0.2</v>
      </c>
      <c r="M10" s="10" t="n">
        <v>0.4</v>
      </c>
      <c r="N10" s="29" t="n">
        <f aca="false">I10*(1-M10)</f>
        <v>24</v>
      </c>
    </row>
    <row r="11" customFormat="false" ht="15" hidden="false" customHeight="false" outlineLevel="0" collapsed="false">
      <c r="A11" s="19" t="str">
        <f aca="false">Inputs!A20</f>
        <v>DOGE</v>
      </c>
      <c r="B11" s="27" t="n">
        <f aca="false">Inputs!D20</f>
        <v>0.08149</v>
      </c>
      <c r="C11" s="12" t="n">
        <v>0.18</v>
      </c>
      <c r="D11" s="13" t="n">
        <f aca="false">C11*Inputs!$B$4</f>
        <v>17.424</v>
      </c>
      <c r="E11" s="28" t="n">
        <f aca="false">IFERROR(C11/B11,0)</f>
        <v>2.20885998281998</v>
      </c>
      <c r="F11" s="12" t="n">
        <v>0.3</v>
      </c>
      <c r="G11" s="13" t="n">
        <f aca="false">F11*Inputs!$B$4</f>
        <v>29.04</v>
      </c>
      <c r="H11" s="28" t="n">
        <f aca="false">IFERROR(F11/B11,0)</f>
        <v>3.68143330469996</v>
      </c>
      <c r="I11" s="12" t="n">
        <v>0.45</v>
      </c>
      <c r="J11" s="13" t="n">
        <f aca="false">I11*Inputs!$B$4</f>
        <v>43.56</v>
      </c>
      <c r="K11" s="28" t="n">
        <f aca="false">IFERROR(I11/B11,0)</f>
        <v>5.52214995704995</v>
      </c>
      <c r="L11" s="10" t="n">
        <v>0.2</v>
      </c>
      <c r="M11" s="10" t="n">
        <v>0.4</v>
      </c>
      <c r="N11" s="29" t="n">
        <f aca="false">I11*(1-M11)</f>
        <v>0.27</v>
      </c>
    </row>
    <row r="13" customFormat="false" ht="15" hidden="false" customHeight="false" outlineLevel="0" collapsed="false">
      <c r="A13" s="2" t="s">
        <v>137</v>
      </c>
    </row>
    <row r="14" customFormat="false" ht="15" hidden="false" customHeight="false" outlineLevel="0" collapsed="false">
      <c r="A14" s="2" t="s">
        <v>138</v>
      </c>
    </row>
    <row r="15" customFormat="false" ht="15" hidden="false" customHeight="false" outlineLevel="0" collapsed="false">
      <c r="A15" s="2" t="s">
        <v>139</v>
      </c>
    </row>
    <row r="17" customFormat="false" ht="31.5" hidden="false" customHeight="true" outlineLevel="0" collapsed="false">
      <c r="A17" s="9" t="s">
        <v>140</v>
      </c>
      <c r="B17" s="9" t="s">
        <v>141</v>
      </c>
    </row>
    <row r="18" customFormat="false" ht="15" hidden="false" customHeight="false" outlineLevel="0" collapsed="false">
      <c r="A18" s="3" t="s">
        <v>101</v>
      </c>
      <c r="B18" s="30" t="n">
        <f aca="false">INDEX('Monthly Schedule'!$M$5:$M$28,MATCH(A18,'Monthly Schedule'!$A$5:$A$28,0))</f>
        <v>0.1</v>
      </c>
    </row>
    <row r="19" customFormat="false" ht="15" hidden="false" customHeight="false" outlineLevel="0" collapsed="false">
      <c r="A19" s="3" t="s">
        <v>111</v>
      </c>
      <c r="B19" s="30" t="n">
        <f aca="false">INDEX('Monthly Schedule'!$M$5:$M$28,MATCH(A19,'Monthly Schedule'!$A$5:$A$28,0))</f>
        <v>0.1</v>
      </c>
    </row>
    <row r="20" customFormat="false" ht="15" hidden="false" customHeight="false" outlineLevel="0" collapsed="false">
      <c r="A20" s="3" t="s">
        <v>113</v>
      </c>
      <c r="B20" s="30" t="n">
        <f aca="false">INDEX('Monthly Schedule'!$M$5:$M$28,MATCH(A20,'Monthly Schedule'!$A$5:$A$28,0))</f>
        <v>0.15</v>
      </c>
    </row>
    <row r="21" customFormat="false" ht="15" hidden="false" customHeight="false" outlineLevel="0" collapsed="false">
      <c r="A21" s="3" t="s">
        <v>115</v>
      </c>
      <c r="B21" s="30" t="n">
        <f aca="false">INDEX('Monthly Schedule'!$M$5:$M$28,MATCH(A21,'Monthly Schedule'!$A$5:$A$28,0))</f>
        <v>0.1</v>
      </c>
    </row>
    <row r="22" customFormat="false" ht="15" hidden="false" customHeight="false" outlineLevel="0" collapsed="false">
      <c r="A22" s="3" t="s">
        <v>117</v>
      </c>
      <c r="B22" s="30" t="n">
        <f aca="false">INDEX('Monthly Schedule'!$M$5:$M$28,MATCH(A22,'Monthly Schedule'!$A$5:$A$28,0))</f>
        <v>0.15</v>
      </c>
    </row>
    <row r="23" customFormat="false" ht="15" hidden="false" customHeight="false" outlineLevel="0" collapsed="false">
      <c r="A23" s="3" t="s">
        <v>142</v>
      </c>
      <c r="B23" s="15" t="n">
        <f aca="false">SUM(B18:B22)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9" min="18" style="0" width="13"/>
    <col collapsed="false" customWidth="true" hidden="false" outlineLevel="0" max="20" min="20" style="0" width="9"/>
    <col collapsed="false" customWidth="true" hidden="false" outlineLevel="0" max="22" min="21" style="0" width="14"/>
    <col collapsed="false" customWidth="true" hidden="false" outlineLevel="0" max="23" min="23" style="0" width="3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1" t="s">
        <v>145</v>
      </c>
    </row>
    <row r="4" customFormat="false" ht="15" hidden="false" customHeight="false" outlineLevel="0" collapsed="false">
      <c r="A4" s="32" t="s">
        <v>146</v>
      </c>
      <c r="B4" s="32" t="s">
        <v>27</v>
      </c>
      <c r="C4" s="32" t="s">
        <v>147</v>
      </c>
      <c r="D4" s="33" t="n">
        <v>7800000</v>
      </c>
      <c r="E4" s="34" t="n">
        <v>2250</v>
      </c>
      <c r="F4" s="35" t="n">
        <f aca="false">E4/D4</f>
        <v>0.000288461538461539</v>
      </c>
      <c r="G4" s="33" t="n">
        <f aca="false">IF(C4="Sell",E4*Inputs!$B$10,0)</f>
        <v>0</v>
      </c>
      <c r="H4" s="32" t="s">
        <v>148</v>
      </c>
    </row>
    <row r="6" customFormat="false" ht="31.5" hidden="false" customHeight="true" outlineLevel="0" collapsed="false">
      <c r="A6" s="9" t="s">
        <v>149</v>
      </c>
      <c r="B6" s="9" t="s">
        <v>18</v>
      </c>
      <c r="C6" s="9" t="s">
        <v>150</v>
      </c>
      <c r="D6" s="9" t="s">
        <v>151</v>
      </c>
      <c r="E6" s="9" t="s">
        <v>20</v>
      </c>
      <c r="F6" s="9" t="s">
        <v>152</v>
      </c>
      <c r="G6" s="9" t="s">
        <v>153</v>
      </c>
      <c r="H6" s="9" t="s">
        <v>154</v>
      </c>
      <c r="J6" s="9" t="s">
        <v>18</v>
      </c>
      <c r="K6" s="9" t="s">
        <v>155</v>
      </c>
      <c r="L6" s="9" t="s">
        <v>156</v>
      </c>
      <c r="M6" s="9" t="s">
        <v>157</v>
      </c>
      <c r="N6" s="9" t="s">
        <v>158</v>
      </c>
      <c r="O6" s="9" t="s">
        <v>159</v>
      </c>
      <c r="P6" s="9" t="s">
        <v>160</v>
      </c>
      <c r="Q6" s="9" t="s">
        <v>161</v>
      </c>
      <c r="R6" s="9" t="s">
        <v>162</v>
      </c>
      <c r="S6" s="9" t="s">
        <v>163</v>
      </c>
      <c r="T6" s="9" t="s">
        <v>164</v>
      </c>
      <c r="U6" s="9" t="s">
        <v>165</v>
      </c>
      <c r="V6" s="9" t="s">
        <v>126</v>
      </c>
      <c r="W6" s="9" t="s">
        <v>166</v>
      </c>
    </row>
    <row r="7" customFormat="false" ht="15" hidden="false" customHeight="false" outlineLevel="0" collapsed="false">
      <c r="A7" s="36"/>
      <c r="B7" s="24"/>
      <c r="C7" s="24"/>
      <c r="D7" s="37"/>
      <c r="E7" s="4"/>
      <c r="F7" s="38" t="str">
        <f aca="false">IF(OR(D7="",E7=""),"",IFERROR(E7/D7,0))</f>
        <v/>
      </c>
      <c r="G7" s="13" t="n">
        <f aca="false">IF(C7="Sell",E7*Inputs!$B$10,0)</f>
        <v>0</v>
      </c>
      <c r="H7" s="39"/>
      <c r="J7" s="3" t="s">
        <v>27</v>
      </c>
      <c r="K7" s="40" t="n">
        <f aca="false">SUMIFS($F$7:$F$206,$B$7:$B$206,J7,$C$7:$C$206,"Buy")</f>
        <v>0</v>
      </c>
      <c r="L7" s="40" t="n">
        <f aca="false">SUMIFS($F$7:$F$206,$B$7:$B$206,J7,$C$7:$C$206,"Sell")</f>
        <v>0</v>
      </c>
      <c r="M7" s="40" t="n">
        <f aca="false">K7-L7</f>
        <v>0</v>
      </c>
      <c r="N7" s="11" t="n">
        <f aca="false">SUMIFS($E$7:$E$206,$B$7:$B$206,J7,$C$7:$C$206,"Buy")</f>
        <v>0</v>
      </c>
      <c r="O7" s="13" t="n">
        <f aca="false">IFERROR(N7/K7,0)</f>
        <v>0</v>
      </c>
      <c r="P7" s="11" t="n">
        <f aca="false">SUMIFS($E$7:$E$206,$B$7:$B$206,J7,$C$7:$C$206,"Sell")</f>
        <v>0</v>
      </c>
      <c r="Q7" s="41" t="n">
        <f aca="false">Inputs!E14</f>
        <v>7812728</v>
      </c>
      <c r="R7" s="11" t="n">
        <f aca="false">M7*Q7</f>
        <v>0</v>
      </c>
      <c r="S7" s="11" t="n">
        <f aca="false">R7+P7-N7</f>
        <v>0</v>
      </c>
      <c r="T7" s="7" t="n">
        <f aca="false">IFERROR(S7/N7,0)</f>
        <v>0</v>
      </c>
      <c r="U7" s="11" t="n">
        <f aca="false">MAX(0,P7-L7*O7)*Inputs!$B$9</f>
        <v>0</v>
      </c>
      <c r="V7" s="20" t="n">
        <f aca="false">'Sell Plan'!D5</f>
        <v>10648000</v>
      </c>
      <c r="W7" s="14" t="str">
        <f aca="false">IF(M7&lt;=0,"Nothing held",IF(Q7&gt;='Sell Plan'!J5,"Above T3: trailing exit",IF(Q7&gt;='Sell Plan'!G5,"Above T2: sell 20% if not done",IF(Q7&gt;=V7,"Above T1: sell 20% if not done",IF(Q7&lt;='Buy Plan'!I5,"At/below Dip 2 level",IF(Q7&lt;='Buy Plan'!E5,"At/below Dip 1 level","Hold / keep monthly buys"))))))</f>
        <v>Nothing held</v>
      </c>
    </row>
    <row r="8" customFormat="false" ht="15" hidden="false" customHeight="false" outlineLevel="0" collapsed="false">
      <c r="A8" s="36"/>
      <c r="B8" s="24"/>
      <c r="C8" s="24"/>
      <c r="D8" s="37"/>
      <c r="E8" s="4"/>
      <c r="F8" s="38" t="str">
        <f aca="false">IF(OR(D8="",E8=""),"",IFERROR(E8/D8,0))</f>
        <v/>
      </c>
      <c r="G8" s="13" t="n">
        <f aca="false">IF(C8="Sell",E8*Inputs!$B$10,0)</f>
        <v>0</v>
      </c>
      <c r="H8" s="39"/>
      <c r="J8" s="3" t="s">
        <v>29</v>
      </c>
      <c r="K8" s="40" t="n">
        <f aca="false">SUMIFS($F$7:$F$206,$B$7:$B$206,J8,$C$7:$C$206,"Buy")</f>
        <v>0</v>
      </c>
      <c r="L8" s="40" t="n">
        <f aca="false">SUMIFS($F$7:$F$206,$B$7:$B$206,J8,$C$7:$C$206,"Sell")</f>
        <v>0</v>
      </c>
      <c r="M8" s="40" t="n">
        <f aca="false">K8-L8</f>
        <v>0</v>
      </c>
      <c r="N8" s="11" t="n">
        <f aca="false">SUMIFS($E$7:$E$206,$B$7:$B$206,J8,$C$7:$C$206,"Buy")</f>
        <v>0</v>
      </c>
      <c r="O8" s="13" t="n">
        <f aca="false">IFERROR(N8/K8,0)</f>
        <v>0</v>
      </c>
      <c r="P8" s="11" t="n">
        <f aca="false">SUMIFS($E$7:$E$206,$B$7:$B$206,J8,$C$7:$C$206,"Sell")</f>
        <v>0</v>
      </c>
      <c r="Q8" s="41" t="n">
        <f aca="false">Inputs!E15</f>
        <v>234062.4</v>
      </c>
      <c r="R8" s="11" t="n">
        <f aca="false">M8*Q8</f>
        <v>0</v>
      </c>
      <c r="S8" s="11" t="n">
        <f aca="false">R8+P8-N8</f>
        <v>0</v>
      </c>
      <c r="T8" s="7" t="n">
        <f aca="false">IFERROR(S8/N8,0)</f>
        <v>0</v>
      </c>
      <c r="U8" s="11" t="n">
        <f aca="false">MAX(0,P8-L8*O8)*Inputs!$B$9</f>
        <v>0</v>
      </c>
      <c r="V8" s="20" t="n">
        <f aca="false">'Sell Plan'!D6</f>
        <v>367840</v>
      </c>
      <c r="W8" s="14" t="str">
        <f aca="false">IF(M8&lt;=0,"Nothing held",IF(Q8&gt;='Sell Plan'!J6,"Above T3: trailing exit",IF(Q8&gt;='Sell Plan'!G6,"Above T2: sell 20% if not done",IF(Q8&gt;=V8,"Above T1: sell 20% if not done",IF(Q8&lt;='Buy Plan'!I6,"At/below Dip 2 level",IF(Q8&lt;='Buy Plan'!E6,"At/below Dip 1 level","Hold / keep monthly buys"))))))</f>
        <v>Nothing held</v>
      </c>
    </row>
    <row r="9" customFormat="false" ht="15" hidden="false" customHeight="false" outlineLevel="0" collapsed="false">
      <c r="A9" s="36"/>
      <c r="B9" s="24"/>
      <c r="C9" s="24"/>
      <c r="D9" s="37"/>
      <c r="E9" s="4"/>
      <c r="F9" s="38" t="str">
        <f aca="false">IF(OR(D9="",E9=""),"",IFERROR(E9/D9,0))</f>
        <v/>
      </c>
      <c r="G9" s="13" t="n">
        <f aca="false">IF(C9="Sell",E9*Inputs!$B$10,0)</f>
        <v>0</v>
      </c>
      <c r="H9" s="39"/>
      <c r="J9" s="3" t="s">
        <v>31</v>
      </c>
      <c r="K9" s="40" t="n">
        <f aca="false">SUMIFS($F$7:$F$206,$B$7:$B$206,J9,$C$7:$C$206,"Buy")</f>
        <v>0</v>
      </c>
      <c r="L9" s="40" t="n">
        <f aca="false">SUMIFS($F$7:$F$206,$B$7:$B$206,J9,$C$7:$C$206,"Sell")</f>
        <v>0</v>
      </c>
      <c r="M9" s="40" t="n">
        <f aca="false">K9-L9</f>
        <v>0</v>
      </c>
      <c r="N9" s="11" t="n">
        <f aca="false">SUMIFS($E$7:$E$206,$B$7:$B$206,J9,$C$7:$C$206,"Buy")</f>
        <v>0</v>
      </c>
      <c r="O9" s="13" t="n">
        <f aca="false">IFERROR(N9/K9,0)</f>
        <v>0</v>
      </c>
      <c r="P9" s="11" t="n">
        <f aca="false">SUMIFS($E$7:$E$206,$B$7:$B$206,J9,$C$7:$C$206,"Sell")</f>
        <v>0</v>
      </c>
      <c r="Q9" s="41" t="n">
        <f aca="false">Inputs!E16</f>
        <v>10309.2</v>
      </c>
      <c r="R9" s="11" t="n">
        <f aca="false">M9*Q9</f>
        <v>0</v>
      </c>
      <c r="S9" s="11" t="n">
        <f aca="false">R9+P9-N9</f>
        <v>0</v>
      </c>
      <c r="T9" s="7" t="n">
        <f aca="false">IFERROR(S9/N9,0)</f>
        <v>0</v>
      </c>
      <c r="U9" s="11" t="n">
        <f aca="false">MAX(0,P9-L9*O9)*Inputs!$B$9</f>
        <v>0</v>
      </c>
      <c r="V9" s="20" t="n">
        <f aca="false">'Sell Plan'!D7</f>
        <v>17424</v>
      </c>
      <c r="W9" s="14" t="str">
        <f aca="false">IF(M9&lt;=0,"Nothing held",IF(Q9&gt;='Sell Plan'!J7,"Above T3: trailing exit",IF(Q9&gt;='Sell Plan'!G7,"Above T2: sell 20% if not done",IF(Q9&gt;=V9,"Above T1: sell 20% if not done",IF(Q9&lt;='Buy Plan'!I7,"At/below Dip 2 level",IF(Q9&lt;='Buy Plan'!E7,"At/below Dip 1 level","Hold / keep monthly buys"))))))</f>
        <v>Nothing held</v>
      </c>
    </row>
    <row r="10" customFormat="false" ht="15" hidden="false" customHeight="false" outlineLevel="0" collapsed="false">
      <c r="A10" s="36"/>
      <c r="B10" s="24"/>
      <c r="C10" s="24"/>
      <c r="D10" s="37"/>
      <c r="E10" s="4"/>
      <c r="F10" s="38" t="str">
        <f aca="false">IF(OR(D10="",E10=""),"",IFERROR(E10/D10,0))</f>
        <v/>
      </c>
      <c r="G10" s="13" t="n">
        <f aca="false">IF(C10="Sell",E10*Inputs!$B$10,0)</f>
        <v>0</v>
      </c>
      <c r="H10" s="39"/>
      <c r="J10" s="3" t="s">
        <v>33</v>
      </c>
      <c r="K10" s="40" t="n">
        <f aca="false">SUMIFS($F$7:$F$206,$B$7:$B$206,J10,$C$7:$C$206,"Buy")</f>
        <v>0</v>
      </c>
      <c r="L10" s="40" t="n">
        <f aca="false">SUMIFS($F$7:$F$206,$B$7:$B$206,J10,$C$7:$C$206,"Sell")</f>
        <v>0</v>
      </c>
      <c r="M10" s="40" t="n">
        <f aca="false">K10-L10</f>
        <v>0</v>
      </c>
      <c r="N10" s="11" t="n">
        <f aca="false">SUMIFS($E$7:$E$206,$B$7:$B$206,J10,$C$7:$C$206,"Buy")</f>
        <v>0</v>
      </c>
      <c r="O10" s="13" t="n">
        <f aca="false">IFERROR(N10/K10,0)</f>
        <v>0</v>
      </c>
      <c r="P10" s="11" t="n">
        <f aca="false">SUMIFS($E$7:$E$206,$B$7:$B$206,J10,$C$7:$C$206,"Sell")</f>
        <v>0</v>
      </c>
      <c r="Q10" s="41" t="n">
        <f aca="false">Inputs!E17</f>
        <v>69928.32</v>
      </c>
      <c r="R10" s="11" t="n">
        <f aca="false">M10*Q10</f>
        <v>0</v>
      </c>
      <c r="S10" s="11" t="n">
        <f aca="false">R10+P10-N10</f>
        <v>0</v>
      </c>
      <c r="T10" s="7" t="n">
        <f aca="false">IFERROR(S10/N10,0)</f>
        <v>0</v>
      </c>
      <c r="U10" s="11" t="n">
        <f aca="false">MAX(0,P10-L10*O10)*Inputs!$B$9</f>
        <v>0</v>
      </c>
      <c r="V10" s="20" t="n">
        <f aca="false">'Sell Plan'!D8</f>
        <v>96800</v>
      </c>
      <c r="W10" s="14" t="str">
        <f aca="false">IF(M10&lt;=0,"Nothing held",IF(Q10&gt;='Sell Plan'!J8,"Above T3: trailing exit",IF(Q10&gt;='Sell Plan'!G8,"Above T2: sell 20% if not done",IF(Q10&gt;=V10,"Above T1: sell 20% if not done",IF(Q10&lt;='Buy Plan'!I8,"At/below Dip 2 level",IF(Q10&lt;='Buy Plan'!E8,"At/below Dip 1 level","Hold / keep monthly buys"))))))</f>
        <v>Nothing held</v>
      </c>
    </row>
    <row r="11" customFormat="false" ht="15" hidden="false" customHeight="false" outlineLevel="0" collapsed="false">
      <c r="A11" s="36"/>
      <c r="B11" s="24"/>
      <c r="C11" s="24"/>
      <c r="D11" s="37"/>
      <c r="E11" s="4"/>
      <c r="F11" s="38" t="str">
        <f aca="false">IF(OR(D11="",E11=""),"",IFERROR(E11/D11,0))</f>
        <v/>
      </c>
      <c r="G11" s="13" t="n">
        <f aca="false">IF(C11="Sell",E11*Inputs!$B$10,0)</f>
        <v>0</v>
      </c>
      <c r="H11" s="39"/>
      <c r="J11" s="3" t="s">
        <v>35</v>
      </c>
      <c r="K11" s="40" t="n">
        <f aca="false">SUMIFS($F$7:$F$206,$B$7:$B$206,J11,$C$7:$C$206,"Buy")</f>
        <v>0</v>
      </c>
      <c r="L11" s="40" t="n">
        <f aca="false">SUMIFS($F$7:$F$206,$B$7:$B$206,J11,$C$7:$C$206,"Sell")</f>
        <v>0</v>
      </c>
      <c r="M11" s="40" t="n">
        <f aca="false">K11-L11</f>
        <v>0</v>
      </c>
      <c r="N11" s="11" t="n">
        <f aca="false">SUMIFS($E$7:$E$206,$B$7:$B$206,J11,$C$7:$C$206,"Buy")</f>
        <v>0</v>
      </c>
      <c r="O11" s="13" t="n">
        <f aca="false">IFERROR(N11/K11,0)</f>
        <v>0</v>
      </c>
      <c r="P11" s="11" t="n">
        <f aca="false">SUMIFS($E$7:$E$206,$B$7:$B$206,J11,$C$7:$C$206,"Sell")</f>
        <v>0</v>
      </c>
      <c r="Q11" s="41" t="n">
        <f aca="false">Inputs!E18</f>
        <v>32.2344</v>
      </c>
      <c r="R11" s="11" t="n">
        <f aca="false">M11*Q11</f>
        <v>0</v>
      </c>
      <c r="S11" s="11" t="n">
        <f aca="false">R11+P11-N11</f>
        <v>0</v>
      </c>
      <c r="T11" s="7" t="n">
        <f aca="false">IFERROR(S11/N11,0)</f>
        <v>0</v>
      </c>
      <c r="U11" s="11" t="n">
        <f aca="false">MAX(0,P11-L11*O11)*Inputs!$B$9</f>
        <v>0</v>
      </c>
      <c r="V11" s="20" t="n">
        <f aca="false">'Sell Plan'!D9</f>
        <v>40.656</v>
      </c>
      <c r="W11" s="14" t="str">
        <f aca="false">IF(M11&lt;=0,"Nothing held",IF(Q11&gt;='Sell Plan'!J9,"Above T3: trailing exit",IF(Q11&gt;='Sell Plan'!G9,"Above T2: sell 20% if not done",IF(Q11&gt;=V11,"Above T1: sell 20% if not done",IF(Q11&lt;='Buy Plan'!I9,"At/below Dip 2 level",IF(Q11&lt;='Buy Plan'!E9,"At/below Dip 1 level","Hold / keep monthly buys"))))))</f>
        <v>Nothing held</v>
      </c>
    </row>
    <row r="12" customFormat="false" ht="15" hidden="false" customHeight="false" outlineLevel="0" collapsed="false">
      <c r="A12" s="36"/>
      <c r="B12" s="24"/>
      <c r="C12" s="24"/>
      <c r="D12" s="37"/>
      <c r="E12" s="4"/>
      <c r="F12" s="38" t="str">
        <f aca="false">IF(OR(D12="",E12=""),"",IFERROR(E12/D12,0))</f>
        <v/>
      </c>
      <c r="G12" s="13" t="n">
        <f aca="false">IF(C12="Sell",E12*Inputs!$B$10,0)</f>
        <v>0</v>
      </c>
      <c r="H12" s="39"/>
      <c r="J12" s="3" t="s">
        <v>37</v>
      </c>
      <c r="K12" s="40" t="n">
        <f aca="false">SUMIFS($F$7:$F$206,$B$7:$B$206,J12,$C$7:$C$206,"Buy")</f>
        <v>0</v>
      </c>
      <c r="L12" s="40" t="n">
        <f aca="false">SUMIFS($F$7:$F$206,$B$7:$B$206,J12,$C$7:$C$206,"Sell")</f>
        <v>0</v>
      </c>
      <c r="M12" s="40" t="n">
        <f aca="false">K12-L12</f>
        <v>0</v>
      </c>
      <c r="N12" s="11" t="n">
        <f aca="false">SUMIFS($E$7:$E$206,$B$7:$B$206,J12,$C$7:$C$206,"Buy")</f>
        <v>0</v>
      </c>
      <c r="O12" s="13" t="n">
        <f aca="false">IFERROR(N12/K12,0)</f>
        <v>0</v>
      </c>
      <c r="P12" s="11" t="n">
        <f aca="false">SUMIFS($E$7:$E$206,$B$7:$B$206,J12,$C$7:$C$206,"Sell")</f>
        <v>0</v>
      </c>
      <c r="Q12" s="41" t="n">
        <f aca="false">Inputs!E19</f>
        <v>630.3616</v>
      </c>
      <c r="R12" s="11" t="n">
        <f aca="false">M12*Q12</f>
        <v>0</v>
      </c>
      <c r="S12" s="11" t="n">
        <f aca="false">R12+P12-N12</f>
        <v>0</v>
      </c>
      <c r="T12" s="7" t="n">
        <f aca="false">IFERROR(S12/N12,0)</f>
        <v>0</v>
      </c>
      <c r="U12" s="11" t="n">
        <f aca="false">MAX(0,P12-L12*O12)*Inputs!$B$9</f>
        <v>0</v>
      </c>
      <c r="V12" s="20" t="n">
        <f aca="false">'Sell Plan'!D10</f>
        <v>1452</v>
      </c>
      <c r="W12" s="14" t="str">
        <f aca="false">IF(M12&lt;=0,"Nothing held",IF(Q12&gt;='Sell Plan'!J10,"Above T3: trailing exit",IF(Q12&gt;='Sell Plan'!G10,"Above T2: sell 20% if not done",IF(Q12&gt;=V12,"Above T1: sell 20% if not done",IF(Q12&lt;='Buy Plan'!I10,"At/below Dip 2 level",IF(Q12&lt;='Buy Plan'!E10,"At/below Dip 1 level","Hold / keep monthly buys"))))))</f>
        <v>Nothing held</v>
      </c>
    </row>
    <row r="13" customFormat="false" ht="15" hidden="false" customHeight="false" outlineLevel="0" collapsed="false">
      <c r="A13" s="36"/>
      <c r="B13" s="24"/>
      <c r="C13" s="24"/>
      <c r="D13" s="37"/>
      <c r="E13" s="4"/>
      <c r="F13" s="38" t="str">
        <f aca="false">IF(OR(D13="",E13=""),"",IFERROR(E13/D13,0))</f>
        <v/>
      </c>
      <c r="G13" s="13" t="n">
        <f aca="false">IF(C13="Sell",E13*Inputs!$B$10,0)</f>
        <v>0</v>
      </c>
      <c r="H13" s="39"/>
      <c r="J13" s="3" t="s">
        <v>39</v>
      </c>
      <c r="K13" s="40" t="n">
        <f aca="false">SUMIFS($F$7:$F$206,$B$7:$B$206,J13,$C$7:$C$206,"Buy")</f>
        <v>0</v>
      </c>
      <c r="L13" s="40" t="n">
        <f aca="false">SUMIFS($F$7:$F$206,$B$7:$B$206,J13,$C$7:$C$206,"Sell")</f>
        <v>0</v>
      </c>
      <c r="M13" s="40" t="n">
        <f aca="false">K13-L13</f>
        <v>0</v>
      </c>
      <c r="N13" s="11" t="n">
        <f aca="false">SUMIFS($E$7:$E$206,$B$7:$B$206,J13,$C$7:$C$206,"Buy")</f>
        <v>0</v>
      </c>
      <c r="O13" s="13" t="n">
        <f aca="false">IFERROR(N13/K13,0)</f>
        <v>0</v>
      </c>
      <c r="P13" s="11" t="n">
        <f aca="false">SUMIFS($E$7:$E$206,$B$7:$B$206,J13,$C$7:$C$206,"Sell")</f>
        <v>0</v>
      </c>
      <c r="Q13" s="41" t="n">
        <f aca="false">Inputs!E20</f>
        <v>7.888232</v>
      </c>
      <c r="R13" s="11" t="n">
        <f aca="false">M13*Q13</f>
        <v>0</v>
      </c>
      <c r="S13" s="11" t="n">
        <f aca="false">R13+P13-N13</f>
        <v>0</v>
      </c>
      <c r="T13" s="7" t="n">
        <f aca="false">IFERROR(S13/N13,0)</f>
        <v>0</v>
      </c>
      <c r="U13" s="11" t="n">
        <f aca="false">MAX(0,P13-L13*O13)*Inputs!$B$9</f>
        <v>0</v>
      </c>
      <c r="V13" s="20" t="n">
        <f aca="false">'Sell Plan'!D11</f>
        <v>17.424</v>
      </c>
      <c r="W13" s="14" t="str">
        <f aca="false">IF(M13&lt;=0,"Nothing held",IF(Q13&gt;='Sell Plan'!J11,"Above T3: trailing exit",IF(Q13&gt;='Sell Plan'!G11,"Above T2: sell 20% if not done",IF(Q13&gt;=V13,"Above T1: sell 20% if not done",IF(Q13&lt;='Buy Plan'!I11,"At/below Dip 2 level",IF(Q13&lt;='Buy Plan'!E11,"At/below Dip 1 level","Hold / keep monthly buys"))))))</f>
        <v>Nothing held</v>
      </c>
    </row>
    <row r="14" customFormat="false" ht="15" hidden="false" customHeight="false" outlineLevel="0" collapsed="false">
      <c r="A14" s="36"/>
      <c r="B14" s="24"/>
      <c r="C14" s="24"/>
      <c r="D14" s="37"/>
      <c r="E14" s="4"/>
      <c r="F14" s="38" t="str">
        <f aca="false">IF(OR(D14="",E14=""),"",IFERROR(E14/D14,0))</f>
        <v/>
      </c>
      <c r="G14" s="13" t="n">
        <f aca="false">IF(C14="Sell",E14*Inputs!$B$10,0)</f>
        <v>0</v>
      </c>
      <c r="H14" s="39"/>
      <c r="J14" s="3" t="s">
        <v>41</v>
      </c>
      <c r="N14" s="16" t="n">
        <f aca="false">SUM(N7:N13)</f>
        <v>0</v>
      </c>
      <c r="P14" s="16" t="n">
        <f aca="false">SUM(P7:P13)</f>
        <v>0</v>
      </c>
      <c r="R14" s="16" t="n">
        <f aca="false">SUM(R7:R13)</f>
        <v>0</v>
      </c>
      <c r="S14" s="16" t="n">
        <f aca="false">SUM(S7:S13)</f>
        <v>0</v>
      </c>
      <c r="T14" s="15" t="n">
        <f aca="false">IFERROR(S14/N14,0)</f>
        <v>0</v>
      </c>
      <c r="U14" s="16" t="n">
        <f aca="false">SUM(U7:U13)</f>
        <v>0</v>
      </c>
    </row>
    <row r="15" customFormat="false" ht="15" hidden="false" customHeight="false" outlineLevel="0" collapsed="false">
      <c r="A15" s="36"/>
      <c r="B15" s="24"/>
      <c r="C15" s="24"/>
      <c r="D15" s="37"/>
      <c r="E15" s="4"/>
      <c r="F15" s="38" t="str">
        <f aca="false">IF(OR(D15="",E15=""),"",IFERROR(E15/D15,0))</f>
        <v/>
      </c>
      <c r="G15" s="13" t="n">
        <f aca="false">IF(C15="Sell",E15*Inputs!$B$10,0)</f>
        <v>0</v>
      </c>
      <c r="H15" s="39"/>
    </row>
    <row r="16" customFormat="false" ht="15" hidden="false" customHeight="false" outlineLevel="0" collapsed="false">
      <c r="A16" s="36"/>
      <c r="B16" s="24"/>
      <c r="C16" s="24"/>
      <c r="D16" s="37"/>
      <c r="E16" s="4"/>
      <c r="F16" s="38" t="str">
        <f aca="false">IF(OR(D16="",E16=""),"",IFERROR(E16/D16,0))</f>
        <v/>
      </c>
      <c r="G16" s="13" t="n">
        <f aca="false">IF(C16="Sell",E16*Inputs!$B$10,0)</f>
        <v>0</v>
      </c>
      <c r="H16" s="39"/>
      <c r="J16" s="2" t="s">
        <v>167</v>
      </c>
    </row>
    <row r="17" customFormat="false" ht="15" hidden="false" customHeight="false" outlineLevel="0" collapsed="false">
      <c r="A17" s="36"/>
      <c r="B17" s="24"/>
      <c r="C17" s="24"/>
      <c r="D17" s="37"/>
      <c r="E17" s="4"/>
      <c r="F17" s="38" t="str">
        <f aca="false">IF(OR(D17="",E17=""),"",IFERROR(E17/D17,0))</f>
        <v/>
      </c>
      <c r="G17" s="13" t="n">
        <f aca="false">IF(C17="Sell",E17*Inputs!$B$10,0)</f>
        <v>0</v>
      </c>
      <c r="H17" s="39"/>
    </row>
    <row r="18" customFormat="false" ht="15" hidden="false" customHeight="false" outlineLevel="0" collapsed="false">
      <c r="A18" s="36"/>
      <c r="B18" s="24"/>
      <c r="C18" s="24"/>
      <c r="D18" s="37"/>
      <c r="E18" s="4"/>
      <c r="F18" s="38" t="str">
        <f aca="false">IF(OR(D18="",E18=""),"",IFERROR(E18/D18,0))</f>
        <v/>
      </c>
      <c r="G18" s="13" t="n">
        <f aca="false">IF(C18="Sell",E18*Inputs!$B$10,0)</f>
        <v>0</v>
      </c>
      <c r="H18" s="39"/>
    </row>
    <row r="19" customFormat="false" ht="15" hidden="false" customHeight="false" outlineLevel="0" collapsed="false">
      <c r="A19" s="36"/>
      <c r="B19" s="24"/>
      <c r="C19" s="24"/>
      <c r="D19" s="37"/>
      <c r="E19" s="4"/>
      <c r="F19" s="38" t="str">
        <f aca="false">IF(OR(D19="",E19=""),"",IFERROR(E19/D19,0))</f>
        <v/>
      </c>
      <c r="G19" s="13" t="n">
        <f aca="false">IF(C19="Sell",E19*Inputs!$B$10,0)</f>
        <v>0</v>
      </c>
      <c r="H19" s="39"/>
    </row>
    <row r="20" customFormat="false" ht="15" hidden="false" customHeight="false" outlineLevel="0" collapsed="false">
      <c r="A20" s="36"/>
      <c r="B20" s="24"/>
      <c r="C20" s="24"/>
      <c r="D20" s="37"/>
      <c r="E20" s="4"/>
      <c r="F20" s="38" t="str">
        <f aca="false">IF(OR(D20="",E20=""),"",IFERROR(E20/D20,0))</f>
        <v/>
      </c>
      <c r="G20" s="13" t="n">
        <f aca="false">IF(C20="Sell",E20*Inputs!$B$10,0)</f>
        <v>0</v>
      </c>
      <c r="H20" s="39"/>
    </row>
    <row r="21" customFormat="false" ht="15" hidden="false" customHeight="false" outlineLevel="0" collapsed="false">
      <c r="A21" s="36"/>
      <c r="B21" s="24"/>
      <c r="C21" s="24"/>
      <c r="D21" s="37"/>
      <c r="E21" s="4"/>
      <c r="F21" s="38" t="str">
        <f aca="false">IF(OR(D21="",E21=""),"",IFERROR(E21/D21,0))</f>
        <v/>
      </c>
      <c r="G21" s="13" t="n">
        <f aca="false">IF(C21="Sell",E21*Inputs!$B$10,0)</f>
        <v>0</v>
      </c>
      <c r="H21" s="39"/>
    </row>
    <row r="22" customFormat="false" ht="15" hidden="false" customHeight="false" outlineLevel="0" collapsed="false">
      <c r="A22" s="36"/>
      <c r="B22" s="24"/>
      <c r="C22" s="24"/>
      <c r="D22" s="37"/>
      <c r="E22" s="4"/>
      <c r="F22" s="38" t="str">
        <f aca="false">IF(OR(D22="",E22=""),"",IFERROR(E22/D22,0))</f>
        <v/>
      </c>
      <c r="G22" s="13" t="n">
        <f aca="false">IF(C22="Sell",E22*Inputs!$B$10,0)</f>
        <v>0</v>
      </c>
      <c r="H22" s="39"/>
    </row>
    <row r="23" customFormat="false" ht="15" hidden="false" customHeight="false" outlineLevel="0" collapsed="false">
      <c r="A23" s="36"/>
      <c r="B23" s="24"/>
      <c r="C23" s="24"/>
      <c r="D23" s="37"/>
      <c r="E23" s="4"/>
      <c r="F23" s="38" t="str">
        <f aca="false">IF(OR(D23="",E23=""),"",IFERROR(E23/D23,0))</f>
        <v/>
      </c>
      <c r="G23" s="13" t="n">
        <f aca="false">IF(C23="Sell",E23*Inputs!$B$10,0)</f>
        <v>0</v>
      </c>
      <c r="H23" s="39"/>
    </row>
    <row r="24" customFormat="false" ht="15" hidden="false" customHeight="false" outlineLevel="0" collapsed="false">
      <c r="A24" s="36"/>
      <c r="B24" s="24"/>
      <c r="C24" s="24"/>
      <c r="D24" s="37"/>
      <c r="E24" s="4"/>
      <c r="F24" s="38" t="str">
        <f aca="false">IF(OR(D24="",E24=""),"",IFERROR(E24/D24,0))</f>
        <v/>
      </c>
      <c r="G24" s="13" t="n">
        <f aca="false">IF(C24="Sell",E24*Inputs!$B$10,0)</f>
        <v>0</v>
      </c>
      <c r="H24" s="39"/>
    </row>
    <row r="25" customFormat="false" ht="15" hidden="false" customHeight="false" outlineLevel="0" collapsed="false">
      <c r="A25" s="36"/>
      <c r="B25" s="24"/>
      <c r="C25" s="24"/>
      <c r="D25" s="37"/>
      <c r="E25" s="4"/>
      <c r="F25" s="38" t="str">
        <f aca="false">IF(OR(D25="",E25=""),"",IFERROR(E25/D25,0))</f>
        <v/>
      </c>
      <c r="G25" s="13" t="n">
        <f aca="false">IF(C25="Sell",E25*Inputs!$B$10,0)</f>
        <v>0</v>
      </c>
      <c r="H25" s="39"/>
    </row>
    <row r="26" customFormat="false" ht="15" hidden="false" customHeight="false" outlineLevel="0" collapsed="false">
      <c r="A26" s="36"/>
      <c r="B26" s="24"/>
      <c r="C26" s="24"/>
      <c r="D26" s="37"/>
      <c r="E26" s="4"/>
      <c r="F26" s="38" t="str">
        <f aca="false">IF(OR(D26="",E26=""),"",IFERROR(E26/D26,0))</f>
        <v/>
      </c>
      <c r="G26" s="13" t="n">
        <f aca="false">IF(C26="Sell",E26*Inputs!$B$10,0)</f>
        <v>0</v>
      </c>
      <c r="H26" s="39"/>
    </row>
    <row r="27" customFormat="false" ht="15" hidden="false" customHeight="false" outlineLevel="0" collapsed="false">
      <c r="A27" s="36"/>
      <c r="B27" s="24"/>
      <c r="C27" s="24"/>
      <c r="D27" s="37"/>
      <c r="E27" s="4"/>
      <c r="F27" s="38" t="str">
        <f aca="false">IF(OR(D27="",E27=""),"",IFERROR(E27/D27,0))</f>
        <v/>
      </c>
      <c r="G27" s="13" t="n">
        <f aca="false">IF(C27="Sell",E27*Inputs!$B$10,0)</f>
        <v>0</v>
      </c>
      <c r="H27" s="39"/>
    </row>
    <row r="28" customFormat="false" ht="15" hidden="false" customHeight="false" outlineLevel="0" collapsed="false">
      <c r="A28" s="36"/>
      <c r="B28" s="24"/>
      <c r="C28" s="24"/>
      <c r="D28" s="37"/>
      <c r="E28" s="4"/>
      <c r="F28" s="38" t="str">
        <f aca="false">IF(OR(D28="",E28=""),"",IFERROR(E28/D28,0))</f>
        <v/>
      </c>
      <c r="G28" s="13" t="n">
        <f aca="false">IF(C28="Sell",E28*Inputs!$B$10,0)</f>
        <v>0</v>
      </c>
      <c r="H28" s="39"/>
    </row>
    <row r="29" customFormat="false" ht="15" hidden="false" customHeight="false" outlineLevel="0" collapsed="false">
      <c r="A29" s="36"/>
      <c r="B29" s="24"/>
      <c r="C29" s="24"/>
      <c r="D29" s="37"/>
      <c r="E29" s="4"/>
      <c r="F29" s="38" t="str">
        <f aca="false">IF(OR(D29="",E29=""),"",IFERROR(E29/D29,0))</f>
        <v/>
      </c>
      <c r="G29" s="13" t="n">
        <f aca="false">IF(C29="Sell",E29*Inputs!$B$10,0)</f>
        <v>0</v>
      </c>
      <c r="H29" s="39"/>
    </row>
    <row r="30" customFormat="false" ht="15" hidden="false" customHeight="false" outlineLevel="0" collapsed="false">
      <c r="A30" s="36"/>
      <c r="B30" s="24"/>
      <c r="C30" s="24"/>
      <c r="D30" s="37"/>
      <c r="E30" s="4"/>
      <c r="F30" s="38" t="str">
        <f aca="false">IF(OR(D30="",E30=""),"",IFERROR(E30/D30,0))</f>
        <v/>
      </c>
      <c r="G30" s="13" t="n">
        <f aca="false">IF(C30="Sell",E30*Inputs!$B$10,0)</f>
        <v>0</v>
      </c>
      <c r="H30" s="39"/>
    </row>
    <row r="31" customFormat="false" ht="15" hidden="false" customHeight="false" outlineLevel="0" collapsed="false">
      <c r="A31" s="36"/>
      <c r="B31" s="24"/>
      <c r="C31" s="24"/>
      <c r="D31" s="37"/>
      <c r="E31" s="4"/>
      <c r="F31" s="38" t="str">
        <f aca="false">IF(OR(D31="",E31=""),"",IFERROR(E31/D31,0))</f>
        <v/>
      </c>
      <c r="G31" s="13" t="n">
        <f aca="false">IF(C31="Sell",E31*Inputs!$B$10,0)</f>
        <v>0</v>
      </c>
      <c r="H31" s="39"/>
    </row>
    <row r="32" customFormat="false" ht="15" hidden="false" customHeight="false" outlineLevel="0" collapsed="false">
      <c r="A32" s="36"/>
      <c r="B32" s="24"/>
      <c r="C32" s="24"/>
      <c r="D32" s="37"/>
      <c r="E32" s="4"/>
      <c r="F32" s="38" t="str">
        <f aca="false">IF(OR(D32="",E32=""),"",IFERROR(E32/D32,0))</f>
        <v/>
      </c>
      <c r="G32" s="13" t="n">
        <f aca="false">IF(C32="Sell",E32*Inputs!$B$10,0)</f>
        <v>0</v>
      </c>
      <c r="H32" s="39"/>
    </row>
    <row r="33" customFormat="false" ht="15" hidden="false" customHeight="false" outlineLevel="0" collapsed="false">
      <c r="A33" s="36"/>
      <c r="B33" s="24"/>
      <c r="C33" s="24"/>
      <c r="D33" s="37"/>
      <c r="E33" s="4"/>
      <c r="F33" s="38" t="str">
        <f aca="false">IF(OR(D33="",E33=""),"",IFERROR(E33/D33,0))</f>
        <v/>
      </c>
      <c r="G33" s="13" t="n">
        <f aca="false">IF(C33="Sell",E33*Inputs!$B$10,0)</f>
        <v>0</v>
      </c>
      <c r="H33" s="39"/>
    </row>
    <row r="34" customFormat="false" ht="15" hidden="false" customHeight="false" outlineLevel="0" collapsed="false">
      <c r="A34" s="36"/>
      <c r="B34" s="24"/>
      <c r="C34" s="24"/>
      <c r="D34" s="37"/>
      <c r="E34" s="4"/>
      <c r="F34" s="38" t="str">
        <f aca="false">IF(OR(D34="",E34=""),"",IFERROR(E34/D34,0))</f>
        <v/>
      </c>
      <c r="G34" s="13" t="n">
        <f aca="false">IF(C34="Sell",E34*Inputs!$B$10,0)</f>
        <v>0</v>
      </c>
      <c r="H34" s="39"/>
    </row>
    <row r="35" customFormat="false" ht="15" hidden="false" customHeight="false" outlineLevel="0" collapsed="false">
      <c r="A35" s="36"/>
      <c r="B35" s="24"/>
      <c r="C35" s="24"/>
      <c r="D35" s="37"/>
      <c r="E35" s="4"/>
      <c r="F35" s="38" t="str">
        <f aca="false">IF(OR(D35="",E35=""),"",IFERROR(E35/D35,0))</f>
        <v/>
      </c>
      <c r="G35" s="13" t="n">
        <f aca="false">IF(C35="Sell",E35*Inputs!$B$10,0)</f>
        <v>0</v>
      </c>
      <c r="H35" s="39"/>
    </row>
    <row r="36" customFormat="false" ht="15" hidden="false" customHeight="false" outlineLevel="0" collapsed="false">
      <c r="A36" s="36"/>
      <c r="B36" s="24"/>
      <c r="C36" s="24"/>
      <c r="D36" s="37"/>
      <c r="E36" s="4"/>
      <c r="F36" s="38" t="str">
        <f aca="false">IF(OR(D36="",E36=""),"",IFERROR(E36/D36,0))</f>
        <v/>
      </c>
      <c r="G36" s="13" t="n">
        <f aca="false">IF(C36="Sell",E36*Inputs!$B$10,0)</f>
        <v>0</v>
      </c>
      <c r="H36" s="39"/>
    </row>
    <row r="37" customFormat="false" ht="15" hidden="false" customHeight="false" outlineLevel="0" collapsed="false">
      <c r="A37" s="36"/>
      <c r="B37" s="24"/>
      <c r="C37" s="24"/>
      <c r="D37" s="37"/>
      <c r="E37" s="4"/>
      <c r="F37" s="38" t="str">
        <f aca="false">IF(OR(D37="",E37=""),"",IFERROR(E37/D37,0))</f>
        <v/>
      </c>
      <c r="G37" s="13" t="n">
        <f aca="false">IF(C37="Sell",E37*Inputs!$B$10,0)</f>
        <v>0</v>
      </c>
      <c r="H37" s="39"/>
    </row>
    <row r="38" customFormat="false" ht="15" hidden="false" customHeight="false" outlineLevel="0" collapsed="false">
      <c r="A38" s="36"/>
      <c r="B38" s="24"/>
      <c r="C38" s="24"/>
      <c r="D38" s="37"/>
      <c r="E38" s="4"/>
      <c r="F38" s="38" t="str">
        <f aca="false">IF(OR(D38="",E38=""),"",IFERROR(E38/D38,0))</f>
        <v/>
      </c>
      <c r="G38" s="13" t="n">
        <f aca="false">IF(C38="Sell",E38*Inputs!$B$10,0)</f>
        <v>0</v>
      </c>
      <c r="H38" s="39"/>
    </row>
    <row r="39" customFormat="false" ht="15" hidden="false" customHeight="false" outlineLevel="0" collapsed="false">
      <c r="A39" s="36"/>
      <c r="B39" s="24"/>
      <c r="C39" s="24"/>
      <c r="D39" s="37"/>
      <c r="E39" s="4"/>
      <c r="F39" s="38" t="str">
        <f aca="false">IF(OR(D39="",E39=""),"",IFERROR(E39/D39,0))</f>
        <v/>
      </c>
      <c r="G39" s="13" t="n">
        <f aca="false">IF(C39="Sell",E39*Inputs!$B$10,0)</f>
        <v>0</v>
      </c>
      <c r="H39" s="39"/>
    </row>
    <row r="40" customFormat="false" ht="15" hidden="false" customHeight="false" outlineLevel="0" collapsed="false">
      <c r="A40" s="36"/>
      <c r="B40" s="24"/>
      <c r="C40" s="24"/>
      <c r="D40" s="37"/>
      <c r="E40" s="4"/>
      <c r="F40" s="38" t="str">
        <f aca="false">IF(OR(D40="",E40=""),"",IFERROR(E40/D40,0))</f>
        <v/>
      </c>
      <c r="G40" s="13" t="n">
        <f aca="false">IF(C40="Sell",E40*Inputs!$B$10,0)</f>
        <v>0</v>
      </c>
      <c r="H40" s="39"/>
    </row>
    <row r="41" customFormat="false" ht="15" hidden="false" customHeight="false" outlineLevel="0" collapsed="false">
      <c r="A41" s="36"/>
      <c r="B41" s="24"/>
      <c r="C41" s="24"/>
      <c r="D41" s="37"/>
      <c r="E41" s="4"/>
      <c r="F41" s="38" t="str">
        <f aca="false">IF(OR(D41="",E41=""),"",IFERROR(E41/D41,0))</f>
        <v/>
      </c>
      <c r="G41" s="13" t="n">
        <f aca="false">IF(C41="Sell",E41*Inputs!$B$10,0)</f>
        <v>0</v>
      </c>
      <c r="H41" s="39"/>
    </row>
    <row r="42" customFormat="false" ht="15" hidden="false" customHeight="false" outlineLevel="0" collapsed="false">
      <c r="A42" s="36"/>
      <c r="B42" s="24"/>
      <c r="C42" s="24"/>
      <c r="D42" s="37"/>
      <c r="E42" s="4"/>
      <c r="F42" s="38" t="str">
        <f aca="false">IF(OR(D42="",E42=""),"",IFERROR(E42/D42,0))</f>
        <v/>
      </c>
      <c r="G42" s="13" t="n">
        <f aca="false">IF(C42="Sell",E42*Inputs!$B$10,0)</f>
        <v>0</v>
      </c>
      <c r="H42" s="39"/>
    </row>
    <row r="43" customFormat="false" ht="15" hidden="false" customHeight="false" outlineLevel="0" collapsed="false">
      <c r="A43" s="36"/>
      <c r="B43" s="24"/>
      <c r="C43" s="24"/>
      <c r="D43" s="37"/>
      <c r="E43" s="4"/>
      <c r="F43" s="38" t="str">
        <f aca="false">IF(OR(D43="",E43=""),"",IFERROR(E43/D43,0))</f>
        <v/>
      </c>
      <c r="G43" s="13" t="n">
        <f aca="false">IF(C43="Sell",E43*Inputs!$B$10,0)</f>
        <v>0</v>
      </c>
      <c r="H43" s="39"/>
    </row>
    <row r="44" customFormat="false" ht="15" hidden="false" customHeight="false" outlineLevel="0" collapsed="false">
      <c r="A44" s="36"/>
      <c r="B44" s="24"/>
      <c r="C44" s="24"/>
      <c r="D44" s="37"/>
      <c r="E44" s="4"/>
      <c r="F44" s="38" t="str">
        <f aca="false">IF(OR(D44="",E44=""),"",IFERROR(E44/D44,0))</f>
        <v/>
      </c>
      <c r="G44" s="13" t="n">
        <f aca="false">IF(C44="Sell",E44*Inputs!$B$10,0)</f>
        <v>0</v>
      </c>
      <c r="H44" s="39"/>
    </row>
    <row r="45" customFormat="false" ht="15" hidden="false" customHeight="false" outlineLevel="0" collapsed="false">
      <c r="A45" s="36"/>
      <c r="B45" s="24"/>
      <c r="C45" s="24"/>
      <c r="D45" s="37"/>
      <c r="E45" s="4"/>
      <c r="F45" s="38" t="str">
        <f aca="false">IF(OR(D45="",E45=""),"",IFERROR(E45/D45,0))</f>
        <v/>
      </c>
      <c r="G45" s="13" t="n">
        <f aca="false">IF(C45="Sell",E45*Inputs!$B$10,0)</f>
        <v>0</v>
      </c>
      <c r="H45" s="39"/>
    </row>
    <row r="46" customFormat="false" ht="15" hidden="false" customHeight="false" outlineLevel="0" collapsed="false">
      <c r="A46" s="36"/>
      <c r="B46" s="24"/>
      <c r="C46" s="24"/>
      <c r="D46" s="37"/>
      <c r="E46" s="4"/>
      <c r="F46" s="38" t="str">
        <f aca="false">IF(OR(D46="",E46=""),"",IFERROR(E46/D46,0))</f>
        <v/>
      </c>
      <c r="G46" s="13" t="n">
        <f aca="false">IF(C46="Sell",E46*Inputs!$B$10,0)</f>
        <v>0</v>
      </c>
      <c r="H46" s="39"/>
    </row>
    <row r="47" customFormat="false" ht="15" hidden="false" customHeight="false" outlineLevel="0" collapsed="false">
      <c r="A47" s="36"/>
      <c r="B47" s="24"/>
      <c r="C47" s="24"/>
      <c r="D47" s="37"/>
      <c r="E47" s="4"/>
      <c r="F47" s="38" t="str">
        <f aca="false">IF(OR(D47="",E47=""),"",IFERROR(E47/D47,0))</f>
        <v/>
      </c>
      <c r="G47" s="13" t="n">
        <f aca="false">IF(C47="Sell",E47*Inputs!$B$10,0)</f>
        <v>0</v>
      </c>
      <c r="H47" s="39"/>
    </row>
    <row r="48" customFormat="false" ht="15" hidden="false" customHeight="false" outlineLevel="0" collapsed="false">
      <c r="A48" s="36"/>
      <c r="B48" s="24"/>
      <c r="C48" s="24"/>
      <c r="D48" s="37"/>
      <c r="E48" s="4"/>
      <c r="F48" s="38" t="str">
        <f aca="false">IF(OR(D48="",E48=""),"",IFERROR(E48/D48,0))</f>
        <v/>
      </c>
      <c r="G48" s="13" t="n">
        <f aca="false">IF(C48="Sell",E48*Inputs!$B$10,0)</f>
        <v>0</v>
      </c>
      <c r="H48" s="39"/>
    </row>
    <row r="49" customFormat="false" ht="15" hidden="false" customHeight="false" outlineLevel="0" collapsed="false">
      <c r="A49" s="36"/>
      <c r="B49" s="24"/>
      <c r="C49" s="24"/>
      <c r="D49" s="37"/>
      <c r="E49" s="4"/>
      <c r="F49" s="38" t="str">
        <f aca="false">IF(OR(D49="",E49=""),"",IFERROR(E49/D49,0))</f>
        <v/>
      </c>
      <c r="G49" s="13" t="n">
        <f aca="false">IF(C49="Sell",E49*Inputs!$B$10,0)</f>
        <v>0</v>
      </c>
      <c r="H49" s="39"/>
    </row>
    <row r="50" customFormat="false" ht="15" hidden="false" customHeight="false" outlineLevel="0" collapsed="false">
      <c r="A50" s="36"/>
      <c r="B50" s="24"/>
      <c r="C50" s="24"/>
      <c r="D50" s="37"/>
      <c r="E50" s="4"/>
      <c r="F50" s="38" t="str">
        <f aca="false">IF(OR(D50="",E50=""),"",IFERROR(E50/D50,0))</f>
        <v/>
      </c>
      <c r="G50" s="13" t="n">
        <f aca="false">IF(C50="Sell",E50*Inputs!$B$10,0)</f>
        <v>0</v>
      </c>
      <c r="H50" s="39"/>
    </row>
    <row r="51" customFormat="false" ht="15" hidden="false" customHeight="false" outlineLevel="0" collapsed="false">
      <c r="A51" s="36"/>
      <c r="B51" s="24"/>
      <c r="C51" s="24"/>
      <c r="D51" s="37"/>
      <c r="E51" s="4"/>
      <c r="F51" s="38" t="str">
        <f aca="false">IF(OR(D51="",E51=""),"",IFERROR(E51/D51,0))</f>
        <v/>
      </c>
      <c r="G51" s="13" t="n">
        <f aca="false">IF(C51="Sell",E51*Inputs!$B$10,0)</f>
        <v>0</v>
      </c>
      <c r="H51" s="39"/>
    </row>
    <row r="52" customFormat="false" ht="15" hidden="false" customHeight="false" outlineLevel="0" collapsed="false">
      <c r="A52" s="36"/>
      <c r="B52" s="24"/>
      <c r="C52" s="24"/>
      <c r="D52" s="37"/>
      <c r="E52" s="4"/>
      <c r="F52" s="38" t="str">
        <f aca="false">IF(OR(D52="",E52=""),"",IFERROR(E52/D52,0))</f>
        <v/>
      </c>
      <c r="G52" s="13" t="n">
        <f aca="false">IF(C52="Sell",E52*Inputs!$B$10,0)</f>
        <v>0</v>
      </c>
      <c r="H52" s="39"/>
    </row>
    <row r="53" customFormat="false" ht="15" hidden="false" customHeight="false" outlineLevel="0" collapsed="false">
      <c r="A53" s="36"/>
      <c r="B53" s="24"/>
      <c r="C53" s="24"/>
      <c r="D53" s="37"/>
      <c r="E53" s="4"/>
      <c r="F53" s="38" t="str">
        <f aca="false">IF(OR(D53="",E53=""),"",IFERROR(E53/D53,0))</f>
        <v/>
      </c>
      <c r="G53" s="13" t="n">
        <f aca="false">IF(C53="Sell",E53*Inputs!$B$10,0)</f>
        <v>0</v>
      </c>
      <c r="H53" s="39"/>
    </row>
    <row r="54" customFormat="false" ht="15" hidden="false" customHeight="false" outlineLevel="0" collapsed="false">
      <c r="A54" s="36"/>
      <c r="B54" s="24"/>
      <c r="C54" s="24"/>
      <c r="D54" s="37"/>
      <c r="E54" s="4"/>
      <c r="F54" s="38" t="str">
        <f aca="false">IF(OR(D54="",E54=""),"",IFERROR(E54/D54,0))</f>
        <v/>
      </c>
      <c r="G54" s="13" t="n">
        <f aca="false">IF(C54="Sell",E54*Inputs!$B$10,0)</f>
        <v>0</v>
      </c>
      <c r="H54" s="39"/>
    </row>
    <row r="55" customFormat="false" ht="15" hidden="false" customHeight="false" outlineLevel="0" collapsed="false">
      <c r="A55" s="36"/>
      <c r="B55" s="24"/>
      <c r="C55" s="24"/>
      <c r="D55" s="37"/>
      <c r="E55" s="4"/>
      <c r="F55" s="38" t="str">
        <f aca="false">IF(OR(D55="",E55=""),"",IFERROR(E55/D55,0))</f>
        <v/>
      </c>
      <c r="G55" s="13" t="n">
        <f aca="false">IF(C55="Sell",E55*Inputs!$B$10,0)</f>
        <v>0</v>
      </c>
      <c r="H55" s="39"/>
    </row>
    <row r="56" customFormat="false" ht="15" hidden="false" customHeight="false" outlineLevel="0" collapsed="false">
      <c r="A56" s="36"/>
      <c r="B56" s="24"/>
      <c r="C56" s="24"/>
      <c r="D56" s="37"/>
      <c r="E56" s="4"/>
      <c r="F56" s="38" t="str">
        <f aca="false">IF(OR(D56="",E56=""),"",IFERROR(E56/D56,0))</f>
        <v/>
      </c>
      <c r="G56" s="13" t="n">
        <f aca="false">IF(C56="Sell",E56*Inputs!$B$10,0)</f>
        <v>0</v>
      </c>
      <c r="H56" s="39"/>
    </row>
    <row r="57" customFormat="false" ht="15" hidden="false" customHeight="false" outlineLevel="0" collapsed="false">
      <c r="A57" s="36"/>
      <c r="B57" s="24"/>
      <c r="C57" s="24"/>
      <c r="D57" s="37"/>
      <c r="E57" s="4"/>
      <c r="F57" s="38" t="str">
        <f aca="false">IF(OR(D57="",E57=""),"",IFERROR(E57/D57,0))</f>
        <v/>
      </c>
      <c r="G57" s="13" t="n">
        <f aca="false">IF(C57="Sell",E57*Inputs!$B$10,0)</f>
        <v>0</v>
      </c>
      <c r="H57" s="39"/>
    </row>
    <row r="58" customFormat="false" ht="15" hidden="false" customHeight="false" outlineLevel="0" collapsed="false">
      <c r="A58" s="36"/>
      <c r="B58" s="24"/>
      <c r="C58" s="24"/>
      <c r="D58" s="37"/>
      <c r="E58" s="4"/>
      <c r="F58" s="38" t="str">
        <f aca="false">IF(OR(D58="",E58=""),"",IFERROR(E58/D58,0))</f>
        <v/>
      </c>
      <c r="G58" s="13" t="n">
        <f aca="false">IF(C58="Sell",E58*Inputs!$B$10,0)</f>
        <v>0</v>
      </c>
      <c r="H58" s="39"/>
    </row>
    <row r="59" customFormat="false" ht="15" hidden="false" customHeight="false" outlineLevel="0" collapsed="false">
      <c r="A59" s="36"/>
      <c r="B59" s="24"/>
      <c r="C59" s="24"/>
      <c r="D59" s="37"/>
      <c r="E59" s="4"/>
      <c r="F59" s="38" t="str">
        <f aca="false">IF(OR(D59="",E59=""),"",IFERROR(E59/D59,0))</f>
        <v/>
      </c>
      <c r="G59" s="13" t="n">
        <f aca="false">IF(C59="Sell",E59*Inputs!$B$10,0)</f>
        <v>0</v>
      </c>
      <c r="H59" s="39"/>
    </row>
    <row r="60" customFormat="false" ht="15" hidden="false" customHeight="false" outlineLevel="0" collapsed="false">
      <c r="A60" s="36"/>
      <c r="B60" s="24"/>
      <c r="C60" s="24"/>
      <c r="D60" s="37"/>
      <c r="E60" s="4"/>
      <c r="F60" s="38" t="str">
        <f aca="false">IF(OR(D60="",E60=""),"",IFERROR(E60/D60,0))</f>
        <v/>
      </c>
      <c r="G60" s="13" t="n">
        <f aca="false">IF(C60="Sell",E60*Inputs!$B$10,0)</f>
        <v>0</v>
      </c>
      <c r="H60" s="39"/>
    </row>
    <row r="61" customFormat="false" ht="15" hidden="false" customHeight="false" outlineLevel="0" collapsed="false">
      <c r="A61" s="36"/>
      <c r="B61" s="24"/>
      <c r="C61" s="24"/>
      <c r="D61" s="37"/>
      <c r="E61" s="4"/>
      <c r="F61" s="38" t="str">
        <f aca="false">IF(OR(D61="",E61=""),"",IFERROR(E61/D61,0))</f>
        <v/>
      </c>
      <c r="G61" s="13" t="n">
        <f aca="false">IF(C61="Sell",E61*Inputs!$B$10,0)</f>
        <v>0</v>
      </c>
      <c r="H61" s="39"/>
    </row>
    <row r="62" customFormat="false" ht="15" hidden="false" customHeight="false" outlineLevel="0" collapsed="false">
      <c r="A62" s="36"/>
      <c r="B62" s="24"/>
      <c r="C62" s="24"/>
      <c r="D62" s="37"/>
      <c r="E62" s="4"/>
      <c r="F62" s="38" t="str">
        <f aca="false">IF(OR(D62="",E62=""),"",IFERROR(E62/D62,0))</f>
        <v/>
      </c>
      <c r="G62" s="13" t="n">
        <f aca="false">IF(C62="Sell",E62*Inputs!$B$10,0)</f>
        <v>0</v>
      </c>
      <c r="H62" s="39"/>
    </row>
    <row r="63" customFormat="false" ht="15" hidden="false" customHeight="false" outlineLevel="0" collapsed="false">
      <c r="A63" s="36"/>
      <c r="B63" s="24"/>
      <c r="C63" s="24"/>
      <c r="D63" s="37"/>
      <c r="E63" s="4"/>
      <c r="F63" s="38" t="str">
        <f aca="false">IF(OR(D63="",E63=""),"",IFERROR(E63/D63,0))</f>
        <v/>
      </c>
      <c r="G63" s="13" t="n">
        <f aca="false">IF(C63="Sell",E63*Inputs!$B$10,0)</f>
        <v>0</v>
      </c>
      <c r="H63" s="39"/>
    </row>
    <row r="64" customFormat="false" ht="15" hidden="false" customHeight="false" outlineLevel="0" collapsed="false">
      <c r="A64" s="36"/>
      <c r="B64" s="24"/>
      <c r="C64" s="24"/>
      <c r="D64" s="37"/>
      <c r="E64" s="4"/>
      <c r="F64" s="38" t="str">
        <f aca="false">IF(OR(D64="",E64=""),"",IFERROR(E64/D64,0))</f>
        <v/>
      </c>
      <c r="G64" s="13" t="n">
        <f aca="false">IF(C64="Sell",E64*Inputs!$B$10,0)</f>
        <v>0</v>
      </c>
      <c r="H64" s="39"/>
    </row>
    <row r="65" customFormat="false" ht="15" hidden="false" customHeight="false" outlineLevel="0" collapsed="false">
      <c r="A65" s="36"/>
      <c r="B65" s="24"/>
      <c r="C65" s="24"/>
      <c r="D65" s="37"/>
      <c r="E65" s="4"/>
      <c r="F65" s="38" t="str">
        <f aca="false">IF(OR(D65="",E65=""),"",IFERROR(E65/D65,0))</f>
        <v/>
      </c>
      <c r="G65" s="13" t="n">
        <f aca="false">IF(C65="Sell",E65*Inputs!$B$10,0)</f>
        <v>0</v>
      </c>
      <c r="H65" s="39"/>
    </row>
    <row r="66" customFormat="false" ht="15" hidden="false" customHeight="false" outlineLevel="0" collapsed="false">
      <c r="A66" s="36"/>
      <c r="B66" s="24"/>
      <c r="C66" s="24"/>
      <c r="D66" s="37"/>
      <c r="E66" s="4"/>
      <c r="F66" s="38" t="str">
        <f aca="false">IF(OR(D66="",E66=""),"",IFERROR(E66/D66,0))</f>
        <v/>
      </c>
      <c r="G66" s="13" t="n">
        <f aca="false">IF(C66="Sell",E66*Inputs!$B$10,0)</f>
        <v>0</v>
      </c>
      <c r="H66" s="39"/>
    </row>
    <row r="67" customFormat="false" ht="15" hidden="false" customHeight="false" outlineLevel="0" collapsed="false">
      <c r="A67" s="36"/>
      <c r="B67" s="24"/>
      <c r="C67" s="24"/>
      <c r="D67" s="37"/>
      <c r="E67" s="4"/>
      <c r="F67" s="38" t="str">
        <f aca="false">IF(OR(D67="",E67=""),"",IFERROR(E67/D67,0))</f>
        <v/>
      </c>
      <c r="G67" s="13" t="n">
        <f aca="false">IF(C67="Sell",E67*Inputs!$B$10,0)</f>
        <v>0</v>
      </c>
      <c r="H67" s="39"/>
    </row>
    <row r="68" customFormat="false" ht="15" hidden="false" customHeight="false" outlineLevel="0" collapsed="false">
      <c r="A68" s="36"/>
      <c r="B68" s="24"/>
      <c r="C68" s="24"/>
      <c r="D68" s="37"/>
      <c r="E68" s="4"/>
      <c r="F68" s="38" t="str">
        <f aca="false">IF(OR(D68="",E68=""),"",IFERROR(E68/D68,0))</f>
        <v/>
      </c>
      <c r="G68" s="13" t="n">
        <f aca="false">IF(C68="Sell",E68*Inputs!$B$10,0)</f>
        <v>0</v>
      </c>
      <c r="H68" s="39"/>
    </row>
    <row r="69" customFormat="false" ht="15" hidden="false" customHeight="false" outlineLevel="0" collapsed="false">
      <c r="A69" s="36"/>
      <c r="B69" s="24"/>
      <c r="C69" s="24"/>
      <c r="D69" s="37"/>
      <c r="E69" s="4"/>
      <c r="F69" s="38" t="str">
        <f aca="false">IF(OR(D69="",E69=""),"",IFERROR(E69/D69,0))</f>
        <v/>
      </c>
      <c r="G69" s="13" t="n">
        <f aca="false">IF(C69="Sell",E69*Inputs!$B$10,0)</f>
        <v>0</v>
      </c>
      <c r="H69" s="39"/>
    </row>
    <row r="70" customFormat="false" ht="15" hidden="false" customHeight="false" outlineLevel="0" collapsed="false">
      <c r="A70" s="36"/>
      <c r="B70" s="24"/>
      <c r="C70" s="24"/>
      <c r="D70" s="37"/>
      <c r="E70" s="4"/>
      <c r="F70" s="38" t="str">
        <f aca="false">IF(OR(D70="",E70=""),"",IFERROR(E70/D70,0))</f>
        <v/>
      </c>
      <c r="G70" s="13" t="n">
        <f aca="false">IF(C70="Sell",E70*Inputs!$B$10,0)</f>
        <v>0</v>
      </c>
      <c r="H70" s="39"/>
    </row>
    <row r="71" customFormat="false" ht="15" hidden="false" customHeight="false" outlineLevel="0" collapsed="false">
      <c r="A71" s="36"/>
      <c r="B71" s="24"/>
      <c r="C71" s="24"/>
      <c r="D71" s="37"/>
      <c r="E71" s="4"/>
      <c r="F71" s="38" t="str">
        <f aca="false">IF(OR(D71="",E71=""),"",IFERROR(E71/D71,0))</f>
        <v/>
      </c>
      <c r="G71" s="13" t="n">
        <f aca="false">IF(C71="Sell",E71*Inputs!$B$10,0)</f>
        <v>0</v>
      </c>
      <c r="H71" s="39"/>
    </row>
    <row r="72" customFormat="false" ht="15" hidden="false" customHeight="false" outlineLevel="0" collapsed="false">
      <c r="A72" s="36"/>
      <c r="B72" s="24"/>
      <c r="C72" s="24"/>
      <c r="D72" s="37"/>
      <c r="E72" s="4"/>
      <c r="F72" s="38" t="str">
        <f aca="false">IF(OR(D72="",E72=""),"",IFERROR(E72/D72,0))</f>
        <v/>
      </c>
      <c r="G72" s="13" t="n">
        <f aca="false">IF(C72="Sell",E72*Inputs!$B$10,0)</f>
        <v>0</v>
      </c>
      <c r="H72" s="39"/>
    </row>
    <row r="73" customFormat="false" ht="15" hidden="false" customHeight="false" outlineLevel="0" collapsed="false">
      <c r="A73" s="36"/>
      <c r="B73" s="24"/>
      <c r="C73" s="24"/>
      <c r="D73" s="37"/>
      <c r="E73" s="4"/>
      <c r="F73" s="38" t="str">
        <f aca="false">IF(OR(D73="",E73=""),"",IFERROR(E73/D73,0))</f>
        <v/>
      </c>
      <c r="G73" s="13" t="n">
        <f aca="false">IF(C73="Sell",E73*Inputs!$B$10,0)</f>
        <v>0</v>
      </c>
      <c r="H73" s="39"/>
    </row>
    <row r="74" customFormat="false" ht="15" hidden="false" customHeight="false" outlineLevel="0" collapsed="false">
      <c r="A74" s="36"/>
      <c r="B74" s="24"/>
      <c r="C74" s="24"/>
      <c r="D74" s="37"/>
      <c r="E74" s="4"/>
      <c r="F74" s="38" t="str">
        <f aca="false">IF(OR(D74="",E74=""),"",IFERROR(E74/D74,0))</f>
        <v/>
      </c>
      <c r="G74" s="13" t="n">
        <f aca="false">IF(C74="Sell",E74*Inputs!$B$10,0)</f>
        <v>0</v>
      </c>
      <c r="H74" s="39"/>
    </row>
    <row r="75" customFormat="false" ht="15" hidden="false" customHeight="false" outlineLevel="0" collapsed="false">
      <c r="A75" s="36"/>
      <c r="B75" s="24"/>
      <c r="C75" s="24"/>
      <c r="D75" s="37"/>
      <c r="E75" s="4"/>
      <c r="F75" s="38" t="str">
        <f aca="false">IF(OR(D75="",E75=""),"",IFERROR(E75/D75,0))</f>
        <v/>
      </c>
      <c r="G75" s="13" t="n">
        <f aca="false">IF(C75="Sell",E75*Inputs!$B$10,0)</f>
        <v>0</v>
      </c>
      <c r="H75" s="39"/>
    </row>
    <row r="76" customFormat="false" ht="15" hidden="false" customHeight="false" outlineLevel="0" collapsed="false">
      <c r="A76" s="36"/>
      <c r="B76" s="24"/>
      <c r="C76" s="24"/>
      <c r="D76" s="37"/>
      <c r="E76" s="4"/>
      <c r="F76" s="38" t="str">
        <f aca="false">IF(OR(D76="",E76=""),"",IFERROR(E76/D76,0))</f>
        <v/>
      </c>
      <c r="G76" s="13" t="n">
        <f aca="false">IF(C76="Sell",E76*Inputs!$B$10,0)</f>
        <v>0</v>
      </c>
      <c r="H76" s="39"/>
    </row>
    <row r="77" customFormat="false" ht="15" hidden="false" customHeight="false" outlineLevel="0" collapsed="false">
      <c r="A77" s="36"/>
      <c r="B77" s="24"/>
      <c r="C77" s="24"/>
      <c r="D77" s="37"/>
      <c r="E77" s="4"/>
      <c r="F77" s="38" t="str">
        <f aca="false">IF(OR(D77="",E77=""),"",IFERROR(E77/D77,0))</f>
        <v/>
      </c>
      <c r="G77" s="13" t="n">
        <f aca="false">IF(C77="Sell",E77*Inputs!$B$10,0)</f>
        <v>0</v>
      </c>
      <c r="H77" s="39"/>
    </row>
    <row r="78" customFormat="false" ht="15" hidden="false" customHeight="false" outlineLevel="0" collapsed="false">
      <c r="A78" s="36"/>
      <c r="B78" s="24"/>
      <c r="C78" s="24"/>
      <c r="D78" s="37"/>
      <c r="E78" s="4"/>
      <c r="F78" s="38" t="str">
        <f aca="false">IF(OR(D78="",E78=""),"",IFERROR(E78/D78,0))</f>
        <v/>
      </c>
      <c r="G78" s="13" t="n">
        <f aca="false">IF(C78="Sell",E78*Inputs!$B$10,0)</f>
        <v>0</v>
      </c>
      <c r="H78" s="39"/>
    </row>
    <row r="79" customFormat="false" ht="15" hidden="false" customHeight="false" outlineLevel="0" collapsed="false">
      <c r="A79" s="36"/>
      <c r="B79" s="24"/>
      <c r="C79" s="24"/>
      <c r="D79" s="37"/>
      <c r="E79" s="4"/>
      <c r="F79" s="38" t="str">
        <f aca="false">IF(OR(D79="",E79=""),"",IFERROR(E79/D79,0))</f>
        <v/>
      </c>
      <c r="G79" s="13" t="n">
        <f aca="false">IF(C79="Sell",E79*Inputs!$B$10,0)</f>
        <v>0</v>
      </c>
      <c r="H79" s="39"/>
    </row>
    <row r="80" customFormat="false" ht="15" hidden="false" customHeight="false" outlineLevel="0" collapsed="false">
      <c r="A80" s="36"/>
      <c r="B80" s="24"/>
      <c r="C80" s="24"/>
      <c r="D80" s="37"/>
      <c r="E80" s="4"/>
      <c r="F80" s="38" t="str">
        <f aca="false">IF(OR(D80="",E80=""),"",IFERROR(E80/D80,0))</f>
        <v/>
      </c>
      <c r="G80" s="13" t="n">
        <f aca="false">IF(C80="Sell",E80*Inputs!$B$10,0)</f>
        <v>0</v>
      </c>
      <c r="H80" s="39"/>
    </row>
    <row r="81" customFormat="false" ht="15" hidden="false" customHeight="false" outlineLevel="0" collapsed="false">
      <c r="A81" s="36"/>
      <c r="B81" s="24"/>
      <c r="C81" s="24"/>
      <c r="D81" s="37"/>
      <c r="E81" s="4"/>
      <c r="F81" s="38" t="str">
        <f aca="false">IF(OR(D81="",E81=""),"",IFERROR(E81/D81,0))</f>
        <v/>
      </c>
      <c r="G81" s="13" t="n">
        <f aca="false">IF(C81="Sell",E81*Inputs!$B$10,0)</f>
        <v>0</v>
      </c>
      <c r="H81" s="39"/>
    </row>
    <row r="82" customFormat="false" ht="15" hidden="false" customHeight="false" outlineLevel="0" collapsed="false">
      <c r="A82" s="36"/>
      <c r="B82" s="24"/>
      <c r="C82" s="24"/>
      <c r="D82" s="37"/>
      <c r="E82" s="4"/>
      <c r="F82" s="38" t="str">
        <f aca="false">IF(OR(D82="",E82=""),"",IFERROR(E82/D82,0))</f>
        <v/>
      </c>
      <c r="G82" s="13" t="n">
        <f aca="false">IF(C82="Sell",E82*Inputs!$B$10,0)</f>
        <v>0</v>
      </c>
      <c r="H82" s="39"/>
    </row>
    <row r="83" customFormat="false" ht="15" hidden="false" customHeight="false" outlineLevel="0" collapsed="false">
      <c r="A83" s="36"/>
      <c r="B83" s="24"/>
      <c r="C83" s="24"/>
      <c r="D83" s="37"/>
      <c r="E83" s="4"/>
      <c r="F83" s="38" t="str">
        <f aca="false">IF(OR(D83="",E83=""),"",IFERROR(E83/D83,0))</f>
        <v/>
      </c>
      <c r="G83" s="13" t="n">
        <f aca="false">IF(C83="Sell",E83*Inputs!$B$10,0)</f>
        <v>0</v>
      </c>
      <c r="H83" s="39"/>
    </row>
    <row r="84" customFormat="false" ht="15" hidden="false" customHeight="false" outlineLevel="0" collapsed="false">
      <c r="A84" s="36"/>
      <c r="B84" s="24"/>
      <c r="C84" s="24"/>
      <c r="D84" s="37"/>
      <c r="E84" s="4"/>
      <c r="F84" s="38" t="str">
        <f aca="false">IF(OR(D84="",E84=""),"",IFERROR(E84/D84,0))</f>
        <v/>
      </c>
      <c r="G84" s="13" t="n">
        <f aca="false">IF(C84="Sell",E84*Inputs!$B$10,0)</f>
        <v>0</v>
      </c>
      <c r="H84" s="39"/>
    </row>
    <row r="85" customFormat="false" ht="15" hidden="false" customHeight="false" outlineLevel="0" collapsed="false">
      <c r="A85" s="36"/>
      <c r="B85" s="24"/>
      <c r="C85" s="24"/>
      <c r="D85" s="37"/>
      <c r="E85" s="4"/>
      <c r="F85" s="38" t="str">
        <f aca="false">IF(OR(D85="",E85=""),"",IFERROR(E85/D85,0))</f>
        <v/>
      </c>
      <c r="G85" s="13" t="n">
        <f aca="false">IF(C85="Sell",E85*Inputs!$B$10,0)</f>
        <v>0</v>
      </c>
      <c r="H85" s="39"/>
    </row>
    <row r="86" customFormat="false" ht="15" hidden="false" customHeight="false" outlineLevel="0" collapsed="false">
      <c r="A86" s="36"/>
      <c r="B86" s="24"/>
      <c r="C86" s="24"/>
      <c r="D86" s="37"/>
      <c r="E86" s="4"/>
      <c r="F86" s="38" t="str">
        <f aca="false">IF(OR(D86="",E86=""),"",IFERROR(E86/D86,0))</f>
        <v/>
      </c>
      <c r="G86" s="13" t="n">
        <f aca="false">IF(C86="Sell",E86*Inputs!$B$10,0)</f>
        <v>0</v>
      </c>
      <c r="H86" s="39"/>
    </row>
    <row r="87" customFormat="false" ht="15" hidden="false" customHeight="false" outlineLevel="0" collapsed="false">
      <c r="A87" s="36"/>
      <c r="B87" s="24"/>
      <c r="C87" s="24"/>
      <c r="D87" s="37"/>
      <c r="E87" s="4"/>
      <c r="F87" s="38" t="str">
        <f aca="false">IF(OR(D87="",E87=""),"",IFERROR(E87/D87,0))</f>
        <v/>
      </c>
      <c r="G87" s="13" t="n">
        <f aca="false">IF(C87="Sell",E87*Inputs!$B$10,0)</f>
        <v>0</v>
      </c>
      <c r="H87" s="39"/>
    </row>
    <row r="88" customFormat="false" ht="15" hidden="false" customHeight="false" outlineLevel="0" collapsed="false">
      <c r="A88" s="36"/>
      <c r="B88" s="24"/>
      <c r="C88" s="24"/>
      <c r="D88" s="37"/>
      <c r="E88" s="4"/>
      <c r="F88" s="38" t="str">
        <f aca="false">IF(OR(D88="",E88=""),"",IFERROR(E88/D88,0))</f>
        <v/>
      </c>
      <c r="G88" s="13" t="n">
        <f aca="false">IF(C88="Sell",E88*Inputs!$B$10,0)</f>
        <v>0</v>
      </c>
      <c r="H88" s="39"/>
    </row>
    <row r="89" customFormat="false" ht="15" hidden="false" customHeight="false" outlineLevel="0" collapsed="false">
      <c r="A89" s="36"/>
      <c r="B89" s="24"/>
      <c r="C89" s="24"/>
      <c r="D89" s="37"/>
      <c r="E89" s="4"/>
      <c r="F89" s="38" t="str">
        <f aca="false">IF(OR(D89="",E89=""),"",IFERROR(E89/D89,0))</f>
        <v/>
      </c>
      <c r="G89" s="13" t="n">
        <f aca="false">IF(C89="Sell",E89*Inputs!$B$10,0)</f>
        <v>0</v>
      </c>
      <c r="H89" s="39"/>
    </row>
    <row r="90" customFormat="false" ht="15" hidden="false" customHeight="false" outlineLevel="0" collapsed="false">
      <c r="A90" s="36"/>
      <c r="B90" s="24"/>
      <c r="C90" s="24"/>
      <c r="D90" s="37"/>
      <c r="E90" s="4"/>
      <c r="F90" s="38" t="str">
        <f aca="false">IF(OR(D90="",E90=""),"",IFERROR(E90/D90,0))</f>
        <v/>
      </c>
      <c r="G90" s="13" t="n">
        <f aca="false">IF(C90="Sell",E90*Inputs!$B$10,0)</f>
        <v>0</v>
      </c>
      <c r="H90" s="39"/>
    </row>
    <row r="91" customFormat="false" ht="15" hidden="false" customHeight="false" outlineLevel="0" collapsed="false">
      <c r="A91" s="36"/>
      <c r="B91" s="24"/>
      <c r="C91" s="24"/>
      <c r="D91" s="37"/>
      <c r="E91" s="4"/>
      <c r="F91" s="38" t="str">
        <f aca="false">IF(OR(D91="",E91=""),"",IFERROR(E91/D91,0))</f>
        <v/>
      </c>
      <c r="G91" s="13" t="n">
        <f aca="false">IF(C91="Sell",E91*Inputs!$B$10,0)</f>
        <v>0</v>
      </c>
      <c r="H91" s="39"/>
    </row>
    <row r="92" customFormat="false" ht="15" hidden="false" customHeight="false" outlineLevel="0" collapsed="false">
      <c r="A92" s="36"/>
      <c r="B92" s="24"/>
      <c r="C92" s="24"/>
      <c r="D92" s="37"/>
      <c r="E92" s="4"/>
      <c r="F92" s="38" t="str">
        <f aca="false">IF(OR(D92="",E92=""),"",IFERROR(E92/D92,0))</f>
        <v/>
      </c>
      <c r="G92" s="13" t="n">
        <f aca="false">IF(C92="Sell",E92*Inputs!$B$10,0)</f>
        <v>0</v>
      </c>
      <c r="H92" s="39"/>
    </row>
    <row r="93" customFormat="false" ht="15" hidden="false" customHeight="false" outlineLevel="0" collapsed="false">
      <c r="A93" s="36"/>
      <c r="B93" s="24"/>
      <c r="C93" s="24"/>
      <c r="D93" s="37"/>
      <c r="E93" s="4"/>
      <c r="F93" s="38" t="str">
        <f aca="false">IF(OR(D93="",E93=""),"",IFERROR(E93/D93,0))</f>
        <v/>
      </c>
      <c r="G93" s="13" t="n">
        <f aca="false">IF(C93="Sell",E93*Inputs!$B$10,0)</f>
        <v>0</v>
      </c>
      <c r="H93" s="39"/>
    </row>
    <row r="94" customFormat="false" ht="15" hidden="false" customHeight="false" outlineLevel="0" collapsed="false">
      <c r="A94" s="36"/>
      <c r="B94" s="24"/>
      <c r="C94" s="24"/>
      <c r="D94" s="37"/>
      <c r="E94" s="4"/>
      <c r="F94" s="38" t="str">
        <f aca="false">IF(OR(D94="",E94=""),"",IFERROR(E94/D94,0))</f>
        <v/>
      </c>
      <c r="G94" s="13" t="n">
        <f aca="false">IF(C94="Sell",E94*Inputs!$B$10,0)</f>
        <v>0</v>
      </c>
      <c r="H94" s="39"/>
    </row>
    <row r="95" customFormat="false" ht="15" hidden="false" customHeight="false" outlineLevel="0" collapsed="false">
      <c r="A95" s="36"/>
      <c r="B95" s="24"/>
      <c r="C95" s="24"/>
      <c r="D95" s="37"/>
      <c r="E95" s="4"/>
      <c r="F95" s="38" t="str">
        <f aca="false">IF(OR(D95="",E95=""),"",IFERROR(E95/D95,0))</f>
        <v/>
      </c>
      <c r="G95" s="13" t="n">
        <f aca="false">IF(C95="Sell",E95*Inputs!$B$10,0)</f>
        <v>0</v>
      </c>
      <c r="H95" s="39"/>
    </row>
    <row r="96" customFormat="false" ht="15" hidden="false" customHeight="false" outlineLevel="0" collapsed="false">
      <c r="A96" s="36"/>
      <c r="B96" s="24"/>
      <c r="C96" s="24"/>
      <c r="D96" s="37"/>
      <c r="E96" s="4"/>
      <c r="F96" s="38" t="str">
        <f aca="false">IF(OR(D96="",E96=""),"",IFERROR(E96/D96,0))</f>
        <v/>
      </c>
      <c r="G96" s="13" t="n">
        <f aca="false">IF(C96="Sell",E96*Inputs!$B$10,0)</f>
        <v>0</v>
      </c>
      <c r="H96" s="39"/>
    </row>
    <row r="97" customFormat="false" ht="15" hidden="false" customHeight="false" outlineLevel="0" collapsed="false">
      <c r="A97" s="36"/>
      <c r="B97" s="24"/>
      <c r="C97" s="24"/>
      <c r="D97" s="37"/>
      <c r="E97" s="4"/>
      <c r="F97" s="38" t="str">
        <f aca="false">IF(OR(D97="",E97=""),"",IFERROR(E97/D97,0))</f>
        <v/>
      </c>
      <c r="G97" s="13" t="n">
        <f aca="false">IF(C97="Sell",E97*Inputs!$B$10,0)</f>
        <v>0</v>
      </c>
      <c r="H97" s="39"/>
    </row>
    <row r="98" customFormat="false" ht="15" hidden="false" customHeight="false" outlineLevel="0" collapsed="false">
      <c r="A98" s="36"/>
      <c r="B98" s="24"/>
      <c r="C98" s="24"/>
      <c r="D98" s="37"/>
      <c r="E98" s="4"/>
      <c r="F98" s="38" t="str">
        <f aca="false">IF(OR(D98="",E98=""),"",IFERROR(E98/D98,0))</f>
        <v/>
      </c>
      <c r="G98" s="13" t="n">
        <f aca="false">IF(C98="Sell",E98*Inputs!$B$10,0)</f>
        <v>0</v>
      </c>
      <c r="H98" s="39"/>
    </row>
    <row r="99" customFormat="false" ht="15" hidden="false" customHeight="false" outlineLevel="0" collapsed="false">
      <c r="A99" s="36"/>
      <c r="B99" s="24"/>
      <c r="C99" s="24"/>
      <c r="D99" s="37"/>
      <c r="E99" s="4"/>
      <c r="F99" s="38" t="str">
        <f aca="false">IF(OR(D99="",E99=""),"",IFERROR(E99/D99,0))</f>
        <v/>
      </c>
      <c r="G99" s="13" t="n">
        <f aca="false">IF(C99="Sell",E99*Inputs!$B$10,0)</f>
        <v>0</v>
      </c>
      <c r="H99" s="39"/>
    </row>
    <row r="100" customFormat="false" ht="15" hidden="false" customHeight="false" outlineLevel="0" collapsed="false">
      <c r="A100" s="36"/>
      <c r="B100" s="24"/>
      <c r="C100" s="24"/>
      <c r="D100" s="37"/>
      <c r="E100" s="4"/>
      <c r="F100" s="38" t="str">
        <f aca="false">IF(OR(D100="",E100=""),"",IFERROR(E100/D100,0))</f>
        <v/>
      </c>
      <c r="G100" s="13" t="n">
        <f aca="false">IF(C100="Sell",E100*Inputs!$B$10,0)</f>
        <v>0</v>
      </c>
      <c r="H100" s="39"/>
    </row>
    <row r="101" customFormat="false" ht="15" hidden="false" customHeight="false" outlineLevel="0" collapsed="false">
      <c r="A101" s="36"/>
      <c r="B101" s="24"/>
      <c r="C101" s="24"/>
      <c r="D101" s="37"/>
      <c r="E101" s="4"/>
      <c r="F101" s="38" t="str">
        <f aca="false">IF(OR(D101="",E101=""),"",IFERROR(E101/D101,0))</f>
        <v/>
      </c>
      <c r="G101" s="13" t="n">
        <f aca="false">IF(C101="Sell",E101*Inputs!$B$10,0)</f>
        <v>0</v>
      </c>
      <c r="H101" s="39"/>
    </row>
    <row r="102" customFormat="false" ht="15" hidden="false" customHeight="false" outlineLevel="0" collapsed="false">
      <c r="A102" s="36"/>
      <c r="B102" s="24"/>
      <c r="C102" s="24"/>
      <c r="D102" s="37"/>
      <c r="E102" s="4"/>
      <c r="F102" s="38" t="str">
        <f aca="false">IF(OR(D102="",E102=""),"",IFERROR(E102/D102,0))</f>
        <v/>
      </c>
      <c r="G102" s="13" t="n">
        <f aca="false">IF(C102="Sell",E102*Inputs!$B$10,0)</f>
        <v>0</v>
      </c>
      <c r="H102" s="39"/>
    </row>
    <row r="103" customFormat="false" ht="15" hidden="false" customHeight="false" outlineLevel="0" collapsed="false">
      <c r="A103" s="36"/>
      <c r="B103" s="24"/>
      <c r="C103" s="24"/>
      <c r="D103" s="37"/>
      <c r="E103" s="4"/>
      <c r="F103" s="38" t="str">
        <f aca="false">IF(OR(D103="",E103=""),"",IFERROR(E103/D103,0))</f>
        <v/>
      </c>
      <c r="G103" s="13" t="n">
        <f aca="false">IF(C103="Sell",E103*Inputs!$B$10,0)</f>
        <v>0</v>
      </c>
      <c r="H103" s="39"/>
    </row>
    <row r="104" customFormat="false" ht="15" hidden="false" customHeight="false" outlineLevel="0" collapsed="false">
      <c r="A104" s="36"/>
      <c r="B104" s="24"/>
      <c r="C104" s="24"/>
      <c r="D104" s="37"/>
      <c r="E104" s="4"/>
      <c r="F104" s="38" t="str">
        <f aca="false">IF(OR(D104="",E104=""),"",IFERROR(E104/D104,0))</f>
        <v/>
      </c>
      <c r="G104" s="13" t="n">
        <f aca="false">IF(C104="Sell",E104*Inputs!$B$10,0)</f>
        <v>0</v>
      </c>
      <c r="H104" s="39"/>
    </row>
    <row r="105" customFormat="false" ht="15" hidden="false" customHeight="false" outlineLevel="0" collapsed="false">
      <c r="A105" s="36"/>
      <c r="B105" s="24"/>
      <c r="C105" s="24"/>
      <c r="D105" s="37"/>
      <c r="E105" s="4"/>
      <c r="F105" s="38" t="str">
        <f aca="false">IF(OR(D105="",E105=""),"",IFERROR(E105/D105,0))</f>
        <v/>
      </c>
      <c r="G105" s="13" t="n">
        <f aca="false">IF(C105="Sell",E105*Inputs!$B$10,0)</f>
        <v>0</v>
      </c>
      <c r="H105" s="39"/>
    </row>
    <row r="106" customFormat="false" ht="15" hidden="false" customHeight="false" outlineLevel="0" collapsed="false">
      <c r="A106" s="36"/>
      <c r="B106" s="24"/>
      <c r="C106" s="24"/>
      <c r="D106" s="37"/>
      <c r="E106" s="4"/>
      <c r="F106" s="38" t="str">
        <f aca="false">IF(OR(D106="",E106=""),"",IFERROR(E106/D106,0))</f>
        <v/>
      </c>
      <c r="G106" s="13" t="n">
        <f aca="false">IF(C106="Sell",E106*Inputs!$B$10,0)</f>
        <v>0</v>
      </c>
      <c r="H106" s="39"/>
    </row>
    <row r="107" customFormat="false" ht="15" hidden="false" customHeight="false" outlineLevel="0" collapsed="false">
      <c r="A107" s="36"/>
      <c r="B107" s="24"/>
      <c r="C107" s="24"/>
      <c r="D107" s="37"/>
      <c r="E107" s="4"/>
      <c r="F107" s="38" t="str">
        <f aca="false">IF(OR(D107="",E107=""),"",IFERROR(E107/D107,0))</f>
        <v/>
      </c>
      <c r="G107" s="13" t="n">
        <f aca="false">IF(C107="Sell",E107*Inputs!$B$10,0)</f>
        <v>0</v>
      </c>
      <c r="H107" s="39"/>
    </row>
    <row r="108" customFormat="false" ht="15" hidden="false" customHeight="false" outlineLevel="0" collapsed="false">
      <c r="A108" s="36"/>
      <c r="B108" s="24"/>
      <c r="C108" s="24"/>
      <c r="D108" s="37"/>
      <c r="E108" s="4"/>
      <c r="F108" s="38" t="str">
        <f aca="false">IF(OR(D108="",E108=""),"",IFERROR(E108/D108,0))</f>
        <v/>
      </c>
      <c r="G108" s="13" t="n">
        <f aca="false">IF(C108="Sell",E108*Inputs!$B$10,0)</f>
        <v>0</v>
      </c>
      <c r="H108" s="39"/>
    </row>
    <row r="109" customFormat="false" ht="15" hidden="false" customHeight="false" outlineLevel="0" collapsed="false">
      <c r="A109" s="36"/>
      <c r="B109" s="24"/>
      <c r="C109" s="24"/>
      <c r="D109" s="37"/>
      <c r="E109" s="4"/>
      <c r="F109" s="38" t="str">
        <f aca="false">IF(OR(D109="",E109=""),"",IFERROR(E109/D109,0))</f>
        <v/>
      </c>
      <c r="G109" s="13" t="n">
        <f aca="false">IF(C109="Sell",E109*Inputs!$B$10,0)</f>
        <v>0</v>
      </c>
      <c r="H109" s="39"/>
    </row>
    <row r="110" customFormat="false" ht="15" hidden="false" customHeight="false" outlineLevel="0" collapsed="false">
      <c r="A110" s="36"/>
      <c r="B110" s="24"/>
      <c r="C110" s="24"/>
      <c r="D110" s="37"/>
      <c r="E110" s="4"/>
      <c r="F110" s="38" t="str">
        <f aca="false">IF(OR(D110="",E110=""),"",IFERROR(E110/D110,0))</f>
        <v/>
      </c>
      <c r="G110" s="13" t="n">
        <f aca="false">IF(C110="Sell",E110*Inputs!$B$10,0)</f>
        <v>0</v>
      </c>
      <c r="H110" s="39"/>
    </row>
    <row r="111" customFormat="false" ht="15" hidden="false" customHeight="false" outlineLevel="0" collapsed="false">
      <c r="A111" s="36"/>
      <c r="B111" s="24"/>
      <c r="C111" s="24"/>
      <c r="D111" s="37"/>
      <c r="E111" s="4"/>
      <c r="F111" s="38" t="str">
        <f aca="false">IF(OR(D111="",E111=""),"",IFERROR(E111/D111,0))</f>
        <v/>
      </c>
      <c r="G111" s="13" t="n">
        <f aca="false">IF(C111="Sell",E111*Inputs!$B$10,0)</f>
        <v>0</v>
      </c>
      <c r="H111" s="39"/>
    </row>
    <row r="112" customFormat="false" ht="15" hidden="false" customHeight="false" outlineLevel="0" collapsed="false">
      <c r="A112" s="36"/>
      <c r="B112" s="24"/>
      <c r="C112" s="24"/>
      <c r="D112" s="37"/>
      <c r="E112" s="4"/>
      <c r="F112" s="38" t="str">
        <f aca="false">IF(OR(D112="",E112=""),"",IFERROR(E112/D112,0))</f>
        <v/>
      </c>
      <c r="G112" s="13" t="n">
        <f aca="false">IF(C112="Sell",E112*Inputs!$B$10,0)</f>
        <v>0</v>
      </c>
      <c r="H112" s="39"/>
    </row>
    <row r="113" customFormat="false" ht="15" hidden="false" customHeight="false" outlineLevel="0" collapsed="false">
      <c r="A113" s="36"/>
      <c r="B113" s="24"/>
      <c r="C113" s="24"/>
      <c r="D113" s="37"/>
      <c r="E113" s="4"/>
      <c r="F113" s="38" t="str">
        <f aca="false">IF(OR(D113="",E113=""),"",IFERROR(E113/D113,0))</f>
        <v/>
      </c>
      <c r="G113" s="13" t="n">
        <f aca="false">IF(C113="Sell",E113*Inputs!$B$10,0)</f>
        <v>0</v>
      </c>
      <c r="H113" s="39"/>
    </row>
    <row r="114" customFormat="false" ht="15" hidden="false" customHeight="false" outlineLevel="0" collapsed="false">
      <c r="A114" s="36"/>
      <c r="B114" s="24"/>
      <c r="C114" s="24"/>
      <c r="D114" s="37"/>
      <c r="E114" s="4"/>
      <c r="F114" s="38" t="str">
        <f aca="false">IF(OR(D114="",E114=""),"",IFERROR(E114/D114,0))</f>
        <v/>
      </c>
      <c r="G114" s="13" t="n">
        <f aca="false">IF(C114="Sell",E114*Inputs!$B$10,0)</f>
        <v>0</v>
      </c>
      <c r="H114" s="39"/>
    </row>
    <row r="115" customFormat="false" ht="15" hidden="false" customHeight="false" outlineLevel="0" collapsed="false">
      <c r="A115" s="36"/>
      <c r="B115" s="24"/>
      <c r="C115" s="24"/>
      <c r="D115" s="37"/>
      <c r="E115" s="4"/>
      <c r="F115" s="38" t="str">
        <f aca="false">IF(OR(D115="",E115=""),"",IFERROR(E115/D115,0))</f>
        <v/>
      </c>
      <c r="G115" s="13" t="n">
        <f aca="false">IF(C115="Sell",E115*Inputs!$B$10,0)</f>
        <v>0</v>
      </c>
      <c r="H115" s="39"/>
    </row>
    <row r="116" customFormat="false" ht="15" hidden="false" customHeight="false" outlineLevel="0" collapsed="false">
      <c r="A116" s="36"/>
      <c r="B116" s="24"/>
      <c r="C116" s="24"/>
      <c r="D116" s="37"/>
      <c r="E116" s="4"/>
      <c r="F116" s="38" t="str">
        <f aca="false">IF(OR(D116="",E116=""),"",IFERROR(E116/D116,0))</f>
        <v/>
      </c>
      <c r="G116" s="13" t="n">
        <f aca="false">IF(C116="Sell",E116*Inputs!$B$10,0)</f>
        <v>0</v>
      </c>
      <c r="H116" s="39"/>
    </row>
    <row r="117" customFormat="false" ht="15" hidden="false" customHeight="false" outlineLevel="0" collapsed="false">
      <c r="A117" s="36"/>
      <c r="B117" s="24"/>
      <c r="C117" s="24"/>
      <c r="D117" s="37"/>
      <c r="E117" s="4"/>
      <c r="F117" s="38" t="str">
        <f aca="false">IF(OR(D117="",E117=""),"",IFERROR(E117/D117,0))</f>
        <v/>
      </c>
      <c r="G117" s="13" t="n">
        <f aca="false">IF(C117="Sell",E117*Inputs!$B$10,0)</f>
        <v>0</v>
      </c>
      <c r="H117" s="39"/>
    </row>
    <row r="118" customFormat="false" ht="15" hidden="false" customHeight="false" outlineLevel="0" collapsed="false">
      <c r="A118" s="36"/>
      <c r="B118" s="24"/>
      <c r="C118" s="24"/>
      <c r="D118" s="37"/>
      <c r="E118" s="4"/>
      <c r="F118" s="38" t="str">
        <f aca="false">IF(OR(D118="",E118=""),"",IFERROR(E118/D118,0))</f>
        <v/>
      </c>
      <c r="G118" s="13" t="n">
        <f aca="false">IF(C118="Sell",E118*Inputs!$B$10,0)</f>
        <v>0</v>
      </c>
      <c r="H118" s="39"/>
    </row>
    <row r="119" customFormat="false" ht="15" hidden="false" customHeight="false" outlineLevel="0" collapsed="false">
      <c r="A119" s="36"/>
      <c r="B119" s="24"/>
      <c r="C119" s="24"/>
      <c r="D119" s="37"/>
      <c r="E119" s="4"/>
      <c r="F119" s="38" t="str">
        <f aca="false">IF(OR(D119="",E119=""),"",IFERROR(E119/D119,0))</f>
        <v/>
      </c>
      <c r="G119" s="13" t="n">
        <f aca="false">IF(C119="Sell",E119*Inputs!$B$10,0)</f>
        <v>0</v>
      </c>
      <c r="H119" s="39"/>
    </row>
    <row r="120" customFormat="false" ht="15" hidden="false" customHeight="false" outlineLevel="0" collapsed="false">
      <c r="A120" s="36"/>
      <c r="B120" s="24"/>
      <c r="C120" s="24"/>
      <c r="D120" s="37"/>
      <c r="E120" s="4"/>
      <c r="F120" s="38" t="str">
        <f aca="false">IF(OR(D120="",E120=""),"",IFERROR(E120/D120,0))</f>
        <v/>
      </c>
      <c r="G120" s="13" t="n">
        <f aca="false">IF(C120="Sell",E120*Inputs!$B$10,0)</f>
        <v>0</v>
      </c>
      <c r="H120" s="39"/>
    </row>
    <row r="121" customFormat="false" ht="15" hidden="false" customHeight="false" outlineLevel="0" collapsed="false">
      <c r="A121" s="36"/>
      <c r="B121" s="24"/>
      <c r="C121" s="24"/>
      <c r="D121" s="37"/>
      <c r="E121" s="4"/>
      <c r="F121" s="38" t="str">
        <f aca="false">IF(OR(D121="",E121=""),"",IFERROR(E121/D121,0))</f>
        <v/>
      </c>
      <c r="G121" s="13" t="n">
        <f aca="false">IF(C121="Sell",E121*Inputs!$B$10,0)</f>
        <v>0</v>
      </c>
      <c r="H121" s="39"/>
    </row>
    <row r="122" customFormat="false" ht="15" hidden="false" customHeight="false" outlineLevel="0" collapsed="false">
      <c r="A122" s="36"/>
      <c r="B122" s="24"/>
      <c r="C122" s="24"/>
      <c r="D122" s="37"/>
      <c r="E122" s="4"/>
      <c r="F122" s="38" t="str">
        <f aca="false">IF(OR(D122="",E122=""),"",IFERROR(E122/D122,0))</f>
        <v/>
      </c>
      <c r="G122" s="13" t="n">
        <f aca="false">IF(C122="Sell",E122*Inputs!$B$10,0)</f>
        <v>0</v>
      </c>
      <c r="H122" s="39"/>
    </row>
    <row r="123" customFormat="false" ht="15" hidden="false" customHeight="false" outlineLevel="0" collapsed="false">
      <c r="A123" s="36"/>
      <c r="B123" s="24"/>
      <c r="C123" s="24"/>
      <c r="D123" s="37"/>
      <c r="E123" s="4"/>
      <c r="F123" s="38" t="str">
        <f aca="false">IF(OR(D123="",E123=""),"",IFERROR(E123/D123,0))</f>
        <v/>
      </c>
      <c r="G123" s="13" t="n">
        <f aca="false">IF(C123="Sell",E123*Inputs!$B$10,0)</f>
        <v>0</v>
      </c>
      <c r="H123" s="39"/>
    </row>
    <row r="124" customFormat="false" ht="15" hidden="false" customHeight="false" outlineLevel="0" collapsed="false">
      <c r="A124" s="36"/>
      <c r="B124" s="24"/>
      <c r="C124" s="24"/>
      <c r="D124" s="37"/>
      <c r="E124" s="4"/>
      <c r="F124" s="38" t="str">
        <f aca="false">IF(OR(D124="",E124=""),"",IFERROR(E124/D124,0))</f>
        <v/>
      </c>
      <c r="G124" s="13" t="n">
        <f aca="false">IF(C124="Sell",E124*Inputs!$B$10,0)</f>
        <v>0</v>
      </c>
      <c r="H124" s="39"/>
    </row>
    <row r="125" customFormat="false" ht="15" hidden="false" customHeight="false" outlineLevel="0" collapsed="false">
      <c r="A125" s="36"/>
      <c r="B125" s="24"/>
      <c r="C125" s="24"/>
      <c r="D125" s="37"/>
      <c r="E125" s="4"/>
      <c r="F125" s="38" t="str">
        <f aca="false">IF(OR(D125="",E125=""),"",IFERROR(E125/D125,0))</f>
        <v/>
      </c>
      <c r="G125" s="13" t="n">
        <f aca="false">IF(C125="Sell",E125*Inputs!$B$10,0)</f>
        <v>0</v>
      </c>
      <c r="H125" s="39"/>
    </row>
    <row r="126" customFormat="false" ht="15" hidden="false" customHeight="false" outlineLevel="0" collapsed="false">
      <c r="A126" s="36"/>
      <c r="B126" s="24"/>
      <c r="C126" s="24"/>
      <c r="D126" s="37"/>
      <c r="E126" s="4"/>
      <c r="F126" s="38" t="str">
        <f aca="false">IF(OR(D126="",E126=""),"",IFERROR(E126/D126,0))</f>
        <v/>
      </c>
      <c r="G126" s="13" t="n">
        <f aca="false">IF(C126="Sell",E126*Inputs!$B$10,0)</f>
        <v>0</v>
      </c>
      <c r="H126" s="39"/>
    </row>
    <row r="127" customFormat="false" ht="15" hidden="false" customHeight="false" outlineLevel="0" collapsed="false">
      <c r="A127" s="36"/>
      <c r="B127" s="24"/>
      <c r="C127" s="24"/>
      <c r="D127" s="37"/>
      <c r="E127" s="4"/>
      <c r="F127" s="38" t="str">
        <f aca="false">IF(OR(D127="",E127=""),"",IFERROR(E127/D127,0))</f>
        <v/>
      </c>
      <c r="G127" s="13" t="n">
        <f aca="false">IF(C127="Sell",E127*Inputs!$B$10,0)</f>
        <v>0</v>
      </c>
      <c r="H127" s="39"/>
    </row>
    <row r="128" customFormat="false" ht="15" hidden="false" customHeight="false" outlineLevel="0" collapsed="false">
      <c r="A128" s="36"/>
      <c r="B128" s="24"/>
      <c r="C128" s="24"/>
      <c r="D128" s="37"/>
      <c r="E128" s="4"/>
      <c r="F128" s="38" t="str">
        <f aca="false">IF(OR(D128="",E128=""),"",IFERROR(E128/D128,0))</f>
        <v/>
      </c>
      <c r="G128" s="13" t="n">
        <f aca="false">IF(C128="Sell",E128*Inputs!$B$10,0)</f>
        <v>0</v>
      </c>
      <c r="H128" s="39"/>
    </row>
    <row r="129" customFormat="false" ht="15" hidden="false" customHeight="false" outlineLevel="0" collapsed="false">
      <c r="A129" s="36"/>
      <c r="B129" s="24"/>
      <c r="C129" s="24"/>
      <c r="D129" s="37"/>
      <c r="E129" s="4"/>
      <c r="F129" s="38" t="str">
        <f aca="false">IF(OR(D129="",E129=""),"",IFERROR(E129/D129,0))</f>
        <v/>
      </c>
      <c r="G129" s="13" t="n">
        <f aca="false">IF(C129="Sell",E129*Inputs!$B$10,0)</f>
        <v>0</v>
      </c>
      <c r="H129" s="39"/>
    </row>
    <row r="130" customFormat="false" ht="15" hidden="false" customHeight="false" outlineLevel="0" collapsed="false">
      <c r="A130" s="36"/>
      <c r="B130" s="24"/>
      <c r="C130" s="24"/>
      <c r="D130" s="37"/>
      <c r="E130" s="4"/>
      <c r="F130" s="38" t="str">
        <f aca="false">IF(OR(D130="",E130=""),"",IFERROR(E130/D130,0))</f>
        <v/>
      </c>
      <c r="G130" s="13" t="n">
        <f aca="false">IF(C130="Sell",E130*Inputs!$B$10,0)</f>
        <v>0</v>
      </c>
      <c r="H130" s="39"/>
    </row>
    <row r="131" customFormat="false" ht="15" hidden="false" customHeight="false" outlineLevel="0" collapsed="false">
      <c r="A131" s="36"/>
      <c r="B131" s="24"/>
      <c r="C131" s="24"/>
      <c r="D131" s="37"/>
      <c r="E131" s="4"/>
      <c r="F131" s="38" t="str">
        <f aca="false">IF(OR(D131="",E131=""),"",IFERROR(E131/D131,0))</f>
        <v/>
      </c>
      <c r="G131" s="13" t="n">
        <f aca="false">IF(C131="Sell",E131*Inputs!$B$10,0)</f>
        <v>0</v>
      </c>
      <c r="H131" s="39"/>
    </row>
    <row r="132" customFormat="false" ht="15" hidden="false" customHeight="false" outlineLevel="0" collapsed="false">
      <c r="A132" s="36"/>
      <c r="B132" s="24"/>
      <c r="C132" s="24"/>
      <c r="D132" s="37"/>
      <c r="E132" s="4"/>
      <c r="F132" s="38" t="str">
        <f aca="false">IF(OR(D132="",E132=""),"",IFERROR(E132/D132,0))</f>
        <v/>
      </c>
      <c r="G132" s="13" t="n">
        <f aca="false">IF(C132="Sell",E132*Inputs!$B$10,0)</f>
        <v>0</v>
      </c>
      <c r="H132" s="39"/>
    </row>
    <row r="133" customFormat="false" ht="15" hidden="false" customHeight="false" outlineLevel="0" collapsed="false">
      <c r="A133" s="36"/>
      <c r="B133" s="24"/>
      <c r="C133" s="24"/>
      <c r="D133" s="37"/>
      <c r="E133" s="4"/>
      <c r="F133" s="38" t="str">
        <f aca="false">IF(OR(D133="",E133=""),"",IFERROR(E133/D133,0))</f>
        <v/>
      </c>
      <c r="G133" s="13" t="n">
        <f aca="false">IF(C133="Sell",E133*Inputs!$B$10,0)</f>
        <v>0</v>
      </c>
      <c r="H133" s="39"/>
    </row>
    <row r="134" customFormat="false" ht="15" hidden="false" customHeight="false" outlineLevel="0" collapsed="false">
      <c r="A134" s="36"/>
      <c r="B134" s="24"/>
      <c r="C134" s="24"/>
      <c r="D134" s="37"/>
      <c r="E134" s="4"/>
      <c r="F134" s="38" t="str">
        <f aca="false">IF(OR(D134="",E134=""),"",IFERROR(E134/D134,0))</f>
        <v/>
      </c>
      <c r="G134" s="13" t="n">
        <f aca="false">IF(C134="Sell",E134*Inputs!$B$10,0)</f>
        <v>0</v>
      </c>
      <c r="H134" s="39"/>
    </row>
    <row r="135" customFormat="false" ht="15" hidden="false" customHeight="false" outlineLevel="0" collapsed="false">
      <c r="A135" s="36"/>
      <c r="B135" s="24"/>
      <c r="C135" s="24"/>
      <c r="D135" s="37"/>
      <c r="E135" s="4"/>
      <c r="F135" s="38" t="str">
        <f aca="false">IF(OR(D135="",E135=""),"",IFERROR(E135/D135,0))</f>
        <v/>
      </c>
      <c r="G135" s="13" t="n">
        <f aca="false">IF(C135="Sell",E135*Inputs!$B$10,0)</f>
        <v>0</v>
      </c>
      <c r="H135" s="39"/>
    </row>
    <row r="136" customFormat="false" ht="15" hidden="false" customHeight="false" outlineLevel="0" collapsed="false">
      <c r="A136" s="36"/>
      <c r="B136" s="24"/>
      <c r="C136" s="24"/>
      <c r="D136" s="37"/>
      <c r="E136" s="4"/>
      <c r="F136" s="38" t="str">
        <f aca="false">IF(OR(D136="",E136=""),"",IFERROR(E136/D136,0))</f>
        <v/>
      </c>
      <c r="G136" s="13" t="n">
        <f aca="false">IF(C136="Sell",E136*Inputs!$B$10,0)</f>
        <v>0</v>
      </c>
      <c r="H136" s="39"/>
    </row>
    <row r="137" customFormat="false" ht="15" hidden="false" customHeight="false" outlineLevel="0" collapsed="false">
      <c r="A137" s="36"/>
      <c r="B137" s="24"/>
      <c r="C137" s="24"/>
      <c r="D137" s="37"/>
      <c r="E137" s="4"/>
      <c r="F137" s="38" t="str">
        <f aca="false">IF(OR(D137="",E137=""),"",IFERROR(E137/D137,0))</f>
        <v/>
      </c>
      <c r="G137" s="13" t="n">
        <f aca="false">IF(C137="Sell",E137*Inputs!$B$10,0)</f>
        <v>0</v>
      </c>
      <c r="H137" s="39"/>
    </row>
    <row r="138" customFormat="false" ht="15" hidden="false" customHeight="false" outlineLevel="0" collapsed="false">
      <c r="A138" s="36"/>
      <c r="B138" s="24"/>
      <c r="C138" s="24"/>
      <c r="D138" s="37"/>
      <c r="E138" s="4"/>
      <c r="F138" s="38" t="str">
        <f aca="false">IF(OR(D138="",E138=""),"",IFERROR(E138/D138,0))</f>
        <v/>
      </c>
      <c r="G138" s="13" t="n">
        <f aca="false">IF(C138="Sell",E138*Inputs!$B$10,0)</f>
        <v>0</v>
      </c>
      <c r="H138" s="39"/>
    </row>
    <row r="139" customFormat="false" ht="15" hidden="false" customHeight="false" outlineLevel="0" collapsed="false">
      <c r="A139" s="36"/>
      <c r="B139" s="24"/>
      <c r="C139" s="24"/>
      <c r="D139" s="37"/>
      <c r="E139" s="4"/>
      <c r="F139" s="38" t="str">
        <f aca="false">IF(OR(D139="",E139=""),"",IFERROR(E139/D139,0))</f>
        <v/>
      </c>
      <c r="G139" s="13" t="n">
        <f aca="false">IF(C139="Sell",E139*Inputs!$B$10,0)</f>
        <v>0</v>
      </c>
      <c r="H139" s="39"/>
    </row>
    <row r="140" customFormat="false" ht="15" hidden="false" customHeight="false" outlineLevel="0" collapsed="false">
      <c r="A140" s="36"/>
      <c r="B140" s="24"/>
      <c r="C140" s="24"/>
      <c r="D140" s="37"/>
      <c r="E140" s="4"/>
      <c r="F140" s="38" t="str">
        <f aca="false">IF(OR(D140="",E140=""),"",IFERROR(E140/D140,0))</f>
        <v/>
      </c>
      <c r="G140" s="13" t="n">
        <f aca="false">IF(C140="Sell",E140*Inputs!$B$10,0)</f>
        <v>0</v>
      </c>
      <c r="H140" s="39"/>
    </row>
    <row r="141" customFormat="false" ht="15" hidden="false" customHeight="false" outlineLevel="0" collapsed="false">
      <c r="A141" s="36"/>
      <c r="B141" s="24"/>
      <c r="C141" s="24"/>
      <c r="D141" s="37"/>
      <c r="E141" s="4"/>
      <c r="F141" s="38" t="str">
        <f aca="false">IF(OR(D141="",E141=""),"",IFERROR(E141/D141,0))</f>
        <v/>
      </c>
      <c r="G141" s="13" t="n">
        <f aca="false">IF(C141="Sell",E141*Inputs!$B$10,0)</f>
        <v>0</v>
      </c>
      <c r="H141" s="39"/>
    </row>
    <row r="142" customFormat="false" ht="15" hidden="false" customHeight="false" outlineLevel="0" collapsed="false">
      <c r="A142" s="36"/>
      <c r="B142" s="24"/>
      <c r="C142" s="24"/>
      <c r="D142" s="37"/>
      <c r="E142" s="4"/>
      <c r="F142" s="38" t="str">
        <f aca="false">IF(OR(D142="",E142=""),"",IFERROR(E142/D142,0))</f>
        <v/>
      </c>
      <c r="G142" s="13" t="n">
        <f aca="false">IF(C142="Sell",E142*Inputs!$B$10,0)</f>
        <v>0</v>
      </c>
      <c r="H142" s="39"/>
    </row>
    <row r="143" customFormat="false" ht="15" hidden="false" customHeight="false" outlineLevel="0" collapsed="false">
      <c r="A143" s="36"/>
      <c r="B143" s="24"/>
      <c r="C143" s="24"/>
      <c r="D143" s="37"/>
      <c r="E143" s="4"/>
      <c r="F143" s="38" t="str">
        <f aca="false">IF(OR(D143="",E143=""),"",IFERROR(E143/D143,0))</f>
        <v/>
      </c>
      <c r="G143" s="13" t="n">
        <f aca="false">IF(C143="Sell",E143*Inputs!$B$10,0)</f>
        <v>0</v>
      </c>
      <c r="H143" s="39"/>
    </row>
    <row r="144" customFormat="false" ht="15" hidden="false" customHeight="false" outlineLevel="0" collapsed="false">
      <c r="A144" s="36"/>
      <c r="B144" s="24"/>
      <c r="C144" s="24"/>
      <c r="D144" s="37"/>
      <c r="E144" s="4"/>
      <c r="F144" s="38" t="str">
        <f aca="false">IF(OR(D144="",E144=""),"",IFERROR(E144/D144,0))</f>
        <v/>
      </c>
      <c r="G144" s="13" t="n">
        <f aca="false">IF(C144="Sell",E144*Inputs!$B$10,0)</f>
        <v>0</v>
      </c>
      <c r="H144" s="39"/>
    </row>
    <row r="145" customFormat="false" ht="15" hidden="false" customHeight="false" outlineLevel="0" collapsed="false">
      <c r="A145" s="36"/>
      <c r="B145" s="24"/>
      <c r="C145" s="24"/>
      <c r="D145" s="37"/>
      <c r="E145" s="4"/>
      <c r="F145" s="38" t="str">
        <f aca="false">IF(OR(D145="",E145=""),"",IFERROR(E145/D145,0))</f>
        <v/>
      </c>
      <c r="G145" s="13" t="n">
        <f aca="false">IF(C145="Sell",E145*Inputs!$B$10,0)</f>
        <v>0</v>
      </c>
      <c r="H145" s="39"/>
    </row>
    <row r="146" customFormat="false" ht="15" hidden="false" customHeight="false" outlineLevel="0" collapsed="false">
      <c r="A146" s="36"/>
      <c r="B146" s="24"/>
      <c r="C146" s="24"/>
      <c r="D146" s="37"/>
      <c r="E146" s="4"/>
      <c r="F146" s="38" t="str">
        <f aca="false">IF(OR(D146="",E146=""),"",IFERROR(E146/D146,0))</f>
        <v/>
      </c>
      <c r="G146" s="13" t="n">
        <f aca="false">IF(C146="Sell",E146*Inputs!$B$10,0)</f>
        <v>0</v>
      </c>
      <c r="H146" s="39"/>
    </row>
    <row r="147" customFormat="false" ht="15" hidden="false" customHeight="false" outlineLevel="0" collapsed="false">
      <c r="A147" s="36"/>
      <c r="B147" s="24"/>
      <c r="C147" s="24"/>
      <c r="D147" s="37"/>
      <c r="E147" s="4"/>
      <c r="F147" s="38" t="str">
        <f aca="false">IF(OR(D147="",E147=""),"",IFERROR(E147/D147,0))</f>
        <v/>
      </c>
      <c r="G147" s="13" t="n">
        <f aca="false">IF(C147="Sell",E147*Inputs!$B$10,0)</f>
        <v>0</v>
      </c>
      <c r="H147" s="39"/>
    </row>
    <row r="148" customFormat="false" ht="15" hidden="false" customHeight="false" outlineLevel="0" collapsed="false">
      <c r="A148" s="36"/>
      <c r="B148" s="24"/>
      <c r="C148" s="24"/>
      <c r="D148" s="37"/>
      <c r="E148" s="4"/>
      <c r="F148" s="38" t="str">
        <f aca="false">IF(OR(D148="",E148=""),"",IFERROR(E148/D148,0))</f>
        <v/>
      </c>
      <c r="G148" s="13" t="n">
        <f aca="false">IF(C148="Sell",E148*Inputs!$B$10,0)</f>
        <v>0</v>
      </c>
      <c r="H148" s="39"/>
    </row>
    <row r="149" customFormat="false" ht="15" hidden="false" customHeight="false" outlineLevel="0" collapsed="false">
      <c r="A149" s="36"/>
      <c r="B149" s="24"/>
      <c r="C149" s="24"/>
      <c r="D149" s="37"/>
      <c r="E149" s="4"/>
      <c r="F149" s="38" t="str">
        <f aca="false">IF(OR(D149="",E149=""),"",IFERROR(E149/D149,0))</f>
        <v/>
      </c>
      <c r="G149" s="13" t="n">
        <f aca="false">IF(C149="Sell",E149*Inputs!$B$10,0)</f>
        <v>0</v>
      </c>
      <c r="H149" s="39"/>
    </row>
    <row r="150" customFormat="false" ht="15" hidden="false" customHeight="false" outlineLevel="0" collapsed="false">
      <c r="A150" s="36"/>
      <c r="B150" s="24"/>
      <c r="C150" s="24"/>
      <c r="D150" s="37"/>
      <c r="E150" s="4"/>
      <c r="F150" s="38" t="str">
        <f aca="false">IF(OR(D150="",E150=""),"",IFERROR(E150/D150,0))</f>
        <v/>
      </c>
      <c r="G150" s="13" t="n">
        <f aca="false">IF(C150="Sell",E150*Inputs!$B$10,0)</f>
        <v>0</v>
      </c>
      <c r="H150" s="39"/>
    </row>
    <row r="151" customFormat="false" ht="15" hidden="false" customHeight="false" outlineLevel="0" collapsed="false">
      <c r="A151" s="36"/>
      <c r="B151" s="24"/>
      <c r="C151" s="24"/>
      <c r="D151" s="37"/>
      <c r="E151" s="4"/>
      <c r="F151" s="38" t="str">
        <f aca="false">IF(OR(D151="",E151=""),"",IFERROR(E151/D151,0))</f>
        <v/>
      </c>
      <c r="G151" s="13" t="n">
        <f aca="false">IF(C151="Sell",E151*Inputs!$B$10,0)</f>
        <v>0</v>
      </c>
      <c r="H151" s="39"/>
    </row>
    <row r="152" customFormat="false" ht="15" hidden="false" customHeight="false" outlineLevel="0" collapsed="false">
      <c r="A152" s="36"/>
      <c r="B152" s="24"/>
      <c r="C152" s="24"/>
      <c r="D152" s="37"/>
      <c r="E152" s="4"/>
      <c r="F152" s="38" t="str">
        <f aca="false">IF(OR(D152="",E152=""),"",IFERROR(E152/D152,0))</f>
        <v/>
      </c>
      <c r="G152" s="13" t="n">
        <f aca="false">IF(C152="Sell",E152*Inputs!$B$10,0)</f>
        <v>0</v>
      </c>
      <c r="H152" s="39"/>
    </row>
    <row r="153" customFormat="false" ht="15" hidden="false" customHeight="false" outlineLevel="0" collapsed="false">
      <c r="A153" s="36"/>
      <c r="B153" s="24"/>
      <c r="C153" s="24"/>
      <c r="D153" s="37"/>
      <c r="E153" s="4"/>
      <c r="F153" s="38" t="str">
        <f aca="false">IF(OR(D153="",E153=""),"",IFERROR(E153/D153,0))</f>
        <v/>
      </c>
      <c r="G153" s="13" t="n">
        <f aca="false">IF(C153="Sell",E153*Inputs!$B$10,0)</f>
        <v>0</v>
      </c>
      <c r="H153" s="39"/>
    </row>
    <row r="154" customFormat="false" ht="15" hidden="false" customHeight="false" outlineLevel="0" collapsed="false">
      <c r="A154" s="36"/>
      <c r="B154" s="24"/>
      <c r="C154" s="24"/>
      <c r="D154" s="37"/>
      <c r="E154" s="4"/>
      <c r="F154" s="38" t="str">
        <f aca="false">IF(OR(D154="",E154=""),"",IFERROR(E154/D154,0))</f>
        <v/>
      </c>
      <c r="G154" s="13" t="n">
        <f aca="false">IF(C154="Sell",E154*Inputs!$B$10,0)</f>
        <v>0</v>
      </c>
      <c r="H154" s="39"/>
    </row>
    <row r="155" customFormat="false" ht="15" hidden="false" customHeight="false" outlineLevel="0" collapsed="false">
      <c r="A155" s="36"/>
      <c r="B155" s="24"/>
      <c r="C155" s="24"/>
      <c r="D155" s="37"/>
      <c r="E155" s="4"/>
      <c r="F155" s="38" t="str">
        <f aca="false">IF(OR(D155="",E155=""),"",IFERROR(E155/D155,0))</f>
        <v/>
      </c>
      <c r="G155" s="13" t="n">
        <f aca="false">IF(C155="Sell",E155*Inputs!$B$10,0)</f>
        <v>0</v>
      </c>
      <c r="H155" s="39"/>
    </row>
    <row r="156" customFormat="false" ht="15" hidden="false" customHeight="false" outlineLevel="0" collapsed="false">
      <c r="A156" s="36"/>
      <c r="B156" s="24"/>
      <c r="C156" s="24"/>
      <c r="D156" s="37"/>
      <c r="E156" s="4"/>
      <c r="F156" s="38" t="str">
        <f aca="false">IF(OR(D156="",E156=""),"",IFERROR(E156/D156,0))</f>
        <v/>
      </c>
      <c r="G156" s="13" t="n">
        <f aca="false">IF(C156="Sell",E156*Inputs!$B$10,0)</f>
        <v>0</v>
      </c>
      <c r="H156" s="39"/>
    </row>
    <row r="157" customFormat="false" ht="15" hidden="false" customHeight="false" outlineLevel="0" collapsed="false">
      <c r="A157" s="36"/>
      <c r="B157" s="24"/>
      <c r="C157" s="24"/>
      <c r="D157" s="37"/>
      <c r="E157" s="4"/>
      <c r="F157" s="38" t="str">
        <f aca="false">IF(OR(D157="",E157=""),"",IFERROR(E157/D157,0))</f>
        <v/>
      </c>
      <c r="G157" s="13" t="n">
        <f aca="false">IF(C157="Sell",E157*Inputs!$B$10,0)</f>
        <v>0</v>
      </c>
      <c r="H157" s="39"/>
    </row>
    <row r="158" customFormat="false" ht="15" hidden="false" customHeight="false" outlineLevel="0" collapsed="false">
      <c r="A158" s="36"/>
      <c r="B158" s="24"/>
      <c r="C158" s="24"/>
      <c r="D158" s="37"/>
      <c r="E158" s="4"/>
      <c r="F158" s="38" t="str">
        <f aca="false">IF(OR(D158="",E158=""),"",IFERROR(E158/D158,0))</f>
        <v/>
      </c>
      <c r="G158" s="13" t="n">
        <f aca="false">IF(C158="Sell",E158*Inputs!$B$10,0)</f>
        <v>0</v>
      </c>
      <c r="H158" s="39"/>
    </row>
    <row r="159" customFormat="false" ht="15" hidden="false" customHeight="false" outlineLevel="0" collapsed="false">
      <c r="A159" s="36"/>
      <c r="B159" s="24"/>
      <c r="C159" s="24"/>
      <c r="D159" s="37"/>
      <c r="E159" s="4"/>
      <c r="F159" s="38" t="str">
        <f aca="false">IF(OR(D159="",E159=""),"",IFERROR(E159/D159,0))</f>
        <v/>
      </c>
      <c r="G159" s="13" t="n">
        <f aca="false">IF(C159="Sell",E159*Inputs!$B$10,0)</f>
        <v>0</v>
      </c>
      <c r="H159" s="39"/>
    </row>
    <row r="160" customFormat="false" ht="15" hidden="false" customHeight="false" outlineLevel="0" collapsed="false">
      <c r="A160" s="36"/>
      <c r="B160" s="24"/>
      <c r="C160" s="24"/>
      <c r="D160" s="37"/>
      <c r="E160" s="4"/>
      <c r="F160" s="38" t="str">
        <f aca="false">IF(OR(D160="",E160=""),"",IFERROR(E160/D160,0))</f>
        <v/>
      </c>
      <c r="G160" s="13" t="n">
        <f aca="false">IF(C160="Sell",E160*Inputs!$B$10,0)</f>
        <v>0</v>
      </c>
      <c r="H160" s="39"/>
    </row>
    <row r="161" customFormat="false" ht="15" hidden="false" customHeight="false" outlineLevel="0" collapsed="false">
      <c r="A161" s="36"/>
      <c r="B161" s="24"/>
      <c r="C161" s="24"/>
      <c r="D161" s="37"/>
      <c r="E161" s="4"/>
      <c r="F161" s="38" t="str">
        <f aca="false">IF(OR(D161="",E161=""),"",IFERROR(E161/D161,0))</f>
        <v/>
      </c>
      <c r="G161" s="13" t="n">
        <f aca="false">IF(C161="Sell",E161*Inputs!$B$10,0)</f>
        <v>0</v>
      </c>
      <c r="H161" s="39"/>
    </row>
    <row r="162" customFormat="false" ht="15" hidden="false" customHeight="false" outlineLevel="0" collapsed="false">
      <c r="A162" s="36"/>
      <c r="B162" s="24"/>
      <c r="C162" s="24"/>
      <c r="D162" s="37"/>
      <c r="E162" s="4"/>
      <c r="F162" s="38" t="str">
        <f aca="false">IF(OR(D162="",E162=""),"",IFERROR(E162/D162,0))</f>
        <v/>
      </c>
      <c r="G162" s="13" t="n">
        <f aca="false">IF(C162="Sell",E162*Inputs!$B$10,0)</f>
        <v>0</v>
      </c>
      <c r="H162" s="39"/>
    </row>
    <row r="163" customFormat="false" ht="15" hidden="false" customHeight="false" outlineLevel="0" collapsed="false">
      <c r="A163" s="36"/>
      <c r="B163" s="24"/>
      <c r="C163" s="24"/>
      <c r="D163" s="37"/>
      <c r="E163" s="4"/>
      <c r="F163" s="38" t="str">
        <f aca="false">IF(OR(D163="",E163=""),"",IFERROR(E163/D163,0))</f>
        <v/>
      </c>
      <c r="G163" s="13" t="n">
        <f aca="false">IF(C163="Sell",E163*Inputs!$B$10,0)</f>
        <v>0</v>
      </c>
      <c r="H163" s="39"/>
    </row>
    <row r="164" customFormat="false" ht="15" hidden="false" customHeight="false" outlineLevel="0" collapsed="false">
      <c r="A164" s="36"/>
      <c r="B164" s="24"/>
      <c r="C164" s="24"/>
      <c r="D164" s="37"/>
      <c r="E164" s="4"/>
      <c r="F164" s="38" t="str">
        <f aca="false">IF(OR(D164="",E164=""),"",IFERROR(E164/D164,0))</f>
        <v/>
      </c>
      <c r="G164" s="13" t="n">
        <f aca="false">IF(C164="Sell",E164*Inputs!$B$10,0)</f>
        <v>0</v>
      </c>
      <c r="H164" s="39"/>
    </row>
    <row r="165" customFormat="false" ht="15" hidden="false" customHeight="false" outlineLevel="0" collapsed="false">
      <c r="A165" s="36"/>
      <c r="B165" s="24"/>
      <c r="C165" s="24"/>
      <c r="D165" s="37"/>
      <c r="E165" s="4"/>
      <c r="F165" s="38" t="str">
        <f aca="false">IF(OR(D165="",E165=""),"",IFERROR(E165/D165,0))</f>
        <v/>
      </c>
      <c r="G165" s="13" t="n">
        <f aca="false">IF(C165="Sell",E165*Inputs!$B$10,0)</f>
        <v>0</v>
      </c>
      <c r="H165" s="39"/>
    </row>
    <row r="166" customFormat="false" ht="15" hidden="false" customHeight="false" outlineLevel="0" collapsed="false">
      <c r="A166" s="36"/>
      <c r="B166" s="24"/>
      <c r="C166" s="24"/>
      <c r="D166" s="37"/>
      <c r="E166" s="4"/>
      <c r="F166" s="38" t="str">
        <f aca="false">IF(OR(D166="",E166=""),"",IFERROR(E166/D166,0))</f>
        <v/>
      </c>
      <c r="G166" s="13" t="n">
        <f aca="false">IF(C166="Sell",E166*Inputs!$B$10,0)</f>
        <v>0</v>
      </c>
      <c r="H166" s="39"/>
    </row>
    <row r="167" customFormat="false" ht="15" hidden="false" customHeight="false" outlineLevel="0" collapsed="false">
      <c r="A167" s="36"/>
      <c r="B167" s="24"/>
      <c r="C167" s="24"/>
      <c r="D167" s="37"/>
      <c r="E167" s="4"/>
      <c r="F167" s="38" t="str">
        <f aca="false">IF(OR(D167="",E167=""),"",IFERROR(E167/D167,0))</f>
        <v/>
      </c>
      <c r="G167" s="13" t="n">
        <f aca="false">IF(C167="Sell",E167*Inputs!$B$10,0)</f>
        <v>0</v>
      </c>
      <c r="H167" s="39"/>
    </row>
    <row r="168" customFormat="false" ht="15" hidden="false" customHeight="false" outlineLevel="0" collapsed="false">
      <c r="A168" s="36"/>
      <c r="B168" s="24"/>
      <c r="C168" s="24"/>
      <c r="D168" s="37"/>
      <c r="E168" s="4"/>
      <c r="F168" s="38" t="str">
        <f aca="false">IF(OR(D168="",E168=""),"",IFERROR(E168/D168,0))</f>
        <v/>
      </c>
      <c r="G168" s="13" t="n">
        <f aca="false">IF(C168="Sell",E168*Inputs!$B$10,0)</f>
        <v>0</v>
      </c>
      <c r="H168" s="39"/>
    </row>
    <row r="169" customFormat="false" ht="15" hidden="false" customHeight="false" outlineLevel="0" collapsed="false">
      <c r="A169" s="36"/>
      <c r="B169" s="24"/>
      <c r="C169" s="24"/>
      <c r="D169" s="37"/>
      <c r="E169" s="4"/>
      <c r="F169" s="38" t="str">
        <f aca="false">IF(OR(D169="",E169=""),"",IFERROR(E169/D169,0))</f>
        <v/>
      </c>
      <c r="G169" s="13" t="n">
        <f aca="false">IF(C169="Sell",E169*Inputs!$B$10,0)</f>
        <v>0</v>
      </c>
      <c r="H169" s="39"/>
    </row>
    <row r="170" customFormat="false" ht="15" hidden="false" customHeight="false" outlineLevel="0" collapsed="false">
      <c r="A170" s="36"/>
      <c r="B170" s="24"/>
      <c r="C170" s="24"/>
      <c r="D170" s="37"/>
      <c r="E170" s="4"/>
      <c r="F170" s="38" t="str">
        <f aca="false">IF(OR(D170="",E170=""),"",IFERROR(E170/D170,0))</f>
        <v/>
      </c>
      <c r="G170" s="13" t="n">
        <f aca="false">IF(C170="Sell",E170*Inputs!$B$10,0)</f>
        <v>0</v>
      </c>
      <c r="H170" s="39"/>
    </row>
    <row r="171" customFormat="false" ht="15" hidden="false" customHeight="false" outlineLevel="0" collapsed="false">
      <c r="A171" s="36"/>
      <c r="B171" s="24"/>
      <c r="C171" s="24"/>
      <c r="D171" s="37"/>
      <c r="E171" s="4"/>
      <c r="F171" s="38" t="str">
        <f aca="false">IF(OR(D171="",E171=""),"",IFERROR(E171/D171,0))</f>
        <v/>
      </c>
      <c r="G171" s="13" t="n">
        <f aca="false">IF(C171="Sell",E171*Inputs!$B$10,0)</f>
        <v>0</v>
      </c>
      <c r="H171" s="39"/>
    </row>
    <row r="172" customFormat="false" ht="15" hidden="false" customHeight="false" outlineLevel="0" collapsed="false">
      <c r="A172" s="36"/>
      <c r="B172" s="24"/>
      <c r="C172" s="24"/>
      <c r="D172" s="37"/>
      <c r="E172" s="4"/>
      <c r="F172" s="38" t="str">
        <f aca="false">IF(OR(D172="",E172=""),"",IFERROR(E172/D172,0))</f>
        <v/>
      </c>
      <c r="G172" s="13" t="n">
        <f aca="false">IF(C172="Sell",E172*Inputs!$B$10,0)</f>
        <v>0</v>
      </c>
      <c r="H172" s="39"/>
    </row>
    <row r="173" customFormat="false" ht="15" hidden="false" customHeight="false" outlineLevel="0" collapsed="false">
      <c r="A173" s="36"/>
      <c r="B173" s="24"/>
      <c r="C173" s="24"/>
      <c r="D173" s="37"/>
      <c r="E173" s="4"/>
      <c r="F173" s="38" t="str">
        <f aca="false">IF(OR(D173="",E173=""),"",IFERROR(E173/D173,0))</f>
        <v/>
      </c>
      <c r="G173" s="13" t="n">
        <f aca="false">IF(C173="Sell",E173*Inputs!$B$10,0)</f>
        <v>0</v>
      </c>
      <c r="H173" s="39"/>
    </row>
    <row r="174" customFormat="false" ht="15" hidden="false" customHeight="false" outlineLevel="0" collapsed="false">
      <c r="A174" s="36"/>
      <c r="B174" s="24"/>
      <c r="C174" s="24"/>
      <c r="D174" s="37"/>
      <c r="E174" s="4"/>
      <c r="F174" s="38" t="str">
        <f aca="false">IF(OR(D174="",E174=""),"",IFERROR(E174/D174,0))</f>
        <v/>
      </c>
      <c r="G174" s="13" t="n">
        <f aca="false">IF(C174="Sell",E174*Inputs!$B$10,0)</f>
        <v>0</v>
      </c>
      <c r="H174" s="39"/>
    </row>
    <row r="175" customFormat="false" ht="15" hidden="false" customHeight="false" outlineLevel="0" collapsed="false">
      <c r="A175" s="36"/>
      <c r="B175" s="24"/>
      <c r="C175" s="24"/>
      <c r="D175" s="37"/>
      <c r="E175" s="4"/>
      <c r="F175" s="38" t="str">
        <f aca="false">IF(OR(D175="",E175=""),"",IFERROR(E175/D175,0))</f>
        <v/>
      </c>
      <c r="G175" s="13" t="n">
        <f aca="false">IF(C175="Sell",E175*Inputs!$B$10,0)</f>
        <v>0</v>
      </c>
      <c r="H175" s="39"/>
    </row>
    <row r="176" customFormat="false" ht="15" hidden="false" customHeight="false" outlineLevel="0" collapsed="false">
      <c r="A176" s="36"/>
      <c r="B176" s="24"/>
      <c r="C176" s="24"/>
      <c r="D176" s="37"/>
      <c r="E176" s="4"/>
      <c r="F176" s="38" t="str">
        <f aca="false">IF(OR(D176="",E176=""),"",IFERROR(E176/D176,0))</f>
        <v/>
      </c>
      <c r="G176" s="13" t="n">
        <f aca="false">IF(C176="Sell",E176*Inputs!$B$10,0)</f>
        <v>0</v>
      </c>
      <c r="H176" s="39"/>
    </row>
    <row r="177" customFormat="false" ht="15" hidden="false" customHeight="false" outlineLevel="0" collapsed="false">
      <c r="A177" s="36"/>
      <c r="B177" s="24"/>
      <c r="C177" s="24"/>
      <c r="D177" s="37"/>
      <c r="E177" s="4"/>
      <c r="F177" s="38" t="str">
        <f aca="false">IF(OR(D177="",E177=""),"",IFERROR(E177/D177,0))</f>
        <v/>
      </c>
      <c r="G177" s="13" t="n">
        <f aca="false">IF(C177="Sell",E177*Inputs!$B$10,0)</f>
        <v>0</v>
      </c>
      <c r="H177" s="39"/>
    </row>
    <row r="178" customFormat="false" ht="15" hidden="false" customHeight="false" outlineLevel="0" collapsed="false">
      <c r="A178" s="36"/>
      <c r="B178" s="24"/>
      <c r="C178" s="24"/>
      <c r="D178" s="37"/>
      <c r="E178" s="4"/>
      <c r="F178" s="38" t="str">
        <f aca="false">IF(OR(D178="",E178=""),"",IFERROR(E178/D178,0))</f>
        <v/>
      </c>
      <c r="G178" s="13" t="n">
        <f aca="false">IF(C178="Sell",E178*Inputs!$B$10,0)</f>
        <v>0</v>
      </c>
      <c r="H178" s="39"/>
    </row>
    <row r="179" customFormat="false" ht="15" hidden="false" customHeight="false" outlineLevel="0" collapsed="false">
      <c r="A179" s="36"/>
      <c r="B179" s="24"/>
      <c r="C179" s="24"/>
      <c r="D179" s="37"/>
      <c r="E179" s="4"/>
      <c r="F179" s="38" t="str">
        <f aca="false">IF(OR(D179="",E179=""),"",IFERROR(E179/D179,0))</f>
        <v/>
      </c>
      <c r="G179" s="13" t="n">
        <f aca="false">IF(C179="Sell",E179*Inputs!$B$10,0)</f>
        <v>0</v>
      </c>
      <c r="H179" s="39"/>
    </row>
    <row r="180" customFormat="false" ht="15" hidden="false" customHeight="false" outlineLevel="0" collapsed="false">
      <c r="A180" s="36"/>
      <c r="B180" s="24"/>
      <c r="C180" s="24"/>
      <c r="D180" s="37"/>
      <c r="E180" s="4"/>
      <c r="F180" s="38" t="str">
        <f aca="false">IF(OR(D180="",E180=""),"",IFERROR(E180/D180,0))</f>
        <v/>
      </c>
      <c r="G180" s="13" t="n">
        <f aca="false">IF(C180="Sell",E180*Inputs!$B$10,0)</f>
        <v>0</v>
      </c>
      <c r="H180" s="39"/>
    </row>
    <row r="181" customFormat="false" ht="15" hidden="false" customHeight="false" outlineLevel="0" collapsed="false">
      <c r="A181" s="36"/>
      <c r="B181" s="24"/>
      <c r="C181" s="24"/>
      <c r="D181" s="37"/>
      <c r="E181" s="4"/>
      <c r="F181" s="38" t="str">
        <f aca="false">IF(OR(D181="",E181=""),"",IFERROR(E181/D181,0))</f>
        <v/>
      </c>
      <c r="G181" s="13" t="n">
        <f aca="false">IF(C181="Sell",E181*Inputs!$B$10,0)</f>
        <v>0</v>
      </c>
      <c r="H181" s="39"/>
    </row>
    <row r="182" customFormat="false" ht="15" hidden="false" customHeight="false" outlineLevel="0" collapsed="false">
      <c r="A182" s="36"/>
      <c r="B182" s="24"/>
      <c r="C182" s="24"/>
      <c r="D182" s="37"/>
      <c r="E182" s="4"/>
      <c r="F182" s="38" t="str">
        <f aca="false">IF(OR(D182="",E182=""),"",IFERROR(E182/D182,0))</f>
        <v/>
      </c>
      <c r="G182" s="13" t="n">
        <f aca="false">IF(C182="Sell",E182*Inputs!$B$10,0)</f>
        <v>0</v>
      </c>
      <c r="H182" s="39"/>
    </row>
    <row r="183" customFormat="false" ht="15" hidden="false" customHeight="false" outlineLevel="0" collapsed="false">
      <c r="A183" s="36"/>
      <c r="B183" s="24"/>
      <c r="C183" s="24"/>
      <c r="D183" s="37"/>
      <c r="E183" s="4"/>
      <c r="F183" s="38" t="str">
        <f aca="false">IF(OR(D183="",E183=""),"",IFERROR(E183/D183,0))</f>
        <v/>
      </c>
      <c r="G183" s="13" t="n">
        <f aca="false">IF(C183="Sell",E183*Inputs!$B$10,0)</f>
        <v>0</v>
      </c>
      <c r="H183" s="39"/>
    </row>
    <row r="184" customFormat="false" ht="15" hidden="false" customHeight="false" outlineLevel="0" collapsed="false">
      <c r="A184" s="36"/>
      <c r="B184" s="24"/>
      <c r="C184" s="24"/>
      <c r="D184" s="37"/>
      <c r="E184" s="4"/>
      <c r="F184" s="38" t="str">
        <f aca="false">IF(OR(D184="",E184=""),"",IFERROR(E184/D184,0))</f>
        <v/>
      </c>
      <c r="G184" s="13" t="n">
        <f aca="false">IF(C184="Sell",E184*Inputs!$B$10,0)</f>
        <v>0</v>
      </c>
      <c r="H184" s="39"/>
    </row>
    <row r="185" customFormat="false" ht="15" hidden="false" customHeight="false" outlineLevel="0" collapsed="false">
      <c r="A185" s="36"/>
      <c r="B185" s="24"/>
      <c r="C185" s="24"/>
      <c r="D185" s="37"/>
      <c r="E185" s="4"/>
      <c r="F185" s="38" t="str">
        <f aca="false">IF(OR(D185="",E185=""),"",IFERROR(E185/D185,0))</f>
        <v/>
      </c>
      <c r="G185" s="13" t="n">
        <f aca="false">IF(C185="Sell",E185*Inputs!$B$10,0)</f>
        <v>0</v>
      </c>
      <c r="H185" s="39"/>
    </row>
    <row r="186" customFormat="false" ht="15" hidden="false" customHeight="false" outlineLevel="0" collapsed="false">
      <c r="A186" s="36"/>
      <c r="B186" s="24"/>
      <c r="C186" s="24"/>
      <c r="D186" s="37"/>
      <c r="E186" s="4"/>
      <c r="F186" s="38" t="str">
        <f aca="false">IF(OR(D186="",E186=""),"",IFERROR(E186/D186,0))</f>
        <v/>
      </c>
      <c r="G186" s="13" t="n">
        <f aca="false">IF(C186="Sell",E186*Inputs!$B$10,0)</f>
        <v>0</v>
      </c>
      <c r="H186" s="39"/>
    </row>
    <row r="187" customFormat="false" ht="15" hidden="false" customHeight="false" outlineLevel="0" collapsed="false">
      <c r="A187" s="36"/>
      <c r="B187" s="24"/>
      <c r="C187" s="24"/>
      <c r="D187" s="37"/>
      <c r="E187" s="4"/>
      <c r="F187" s="38" t="str">
        <f aca="false">IF(OR(D187="",E187=""),"",IFERROR(E187/D187,0))</f>
        <v/>
      </c>
      <c r="G187" s="13" t="n">
        <f aca="false">IF(C187="Sell",E187*Inputs!$B$10,0)</f>
        <v>0</v>
      </c>
      <c r="H187" s="39"/>
    </row>
    <row r="188" customFormat="false" ht="15" hidden="false" customHeight="false" outlineLevel="0" collapsed="false">
      <c r="A188" s="36"/>
      <c r="B188" s="24"/>
      <c r="C188" s="24"/>
      <c r="D188" s="37"/>
      <c r="E188" s="4"/>
      <c r="F188" s="38" t="str">
        <f aca="false">IF(OR(D188="",E188=""),"",IFERROR(E188/D188,0))</f>
        <v/>
      </c>
      <c r="G188" s="13" t="n">
        <f aca="false">IF(C188="Sell",E188*Inputs!$B$10,0)</f>
        <v>0</v>
      </c>
      <c r="H188" s="39"/>
    </row>
    <row r="189" customFormat="false" ht="15" hidden="false" customHeight="false" outlineLevel="0" collapsed="false">
      <c r="A189" s="36"/>
      <c r="B189" s="24"/>
      <c r="C189" s="24"/>
      <c r="D189" s="37"/>
      <c r="E189" s="4"/>
      <c r="F189" s="38" t="str">
        <f aca="false">IF(OR(D189="",E189=""),"",IFERROR(E189/D189,0))</f>
        <v/>
      </c>
      <c r="G189" s="13" t="n">
        <f aca="false">IF(C189="Sell",E189*Inputs!$B$10,0)</f>
        <v>0</v>
      </c>
      <c r="H189" s="39"/>
    </row>
    <row r="190" customFormat="false" ht="15" hidden="false" customHeight="false" outlineLevel="0" collapsed="false">
      <c r="A190" s="36"/>
      <c r="B190" s="24"/>
      <c r="C190" s="24"/>
      <c r="D190" s="37"/>
      <c r="E190" s="4"/>
      <c r="F190" s="38" t="str">
        <f aca="false">IF(OR(D190="",E190=""),"",IFERROR(E190/D190,0))</f>
        <v/>
      </c>
      <c r="G190" s="13" t="n">
        <f aca="false">IF(C190="Sell",E190*Inputs!$B$10,0)</f>
        <v>0</v>
      </c>
      <c r="H190" s="39"/>
    </row>
    <row r="191" customFormat="false" ht="15" hidden="false" customHeight="false" outlineLevel="0" collapsed="false">
      <c r="A191" s="36"/>
      <c r="B191" s="24"/>
      <c r="C191" s="24"/>
      <c r="D191" s="37"/>
      <c r="E191" s="4"/>
      <c r="F191" s="38" t="str">
        <f aca="false">IF(OR(D191="",E191=""),"",IFERROR(E191/D191,0))</f>
        <v/>
      </c>
      <c r="G191" s="13" t="n">
        <f aca="false">IF(C191="Sell",E191*Inputs!$B$10,0)</f>
        <v>0</v>
      </c>
      <c r="H191" s="39"/>
    </row>
    <row r="192" customFormat="false" ht="15" hidden="false" customHeight="false" outlineLevel="0" collapsed="false">
      <c r="A192" s="36"/>
      <c r="B192" s="24"/>
      <c r="C192" s="24"/>
      <c r="D192" s="37"/>
      <c r="E192" s="4"/>
      <c r="F192" s="38" t="str">
        <f aca="false">IF(OR(D192="",E192=""),"",IFERROR(E192/D192,0))</f>
        <v/>
      </c>
      <c r="G192" s="13" t="n">
        <f aca="false">IF(C192="Sell",E192*Inputs!$B$10,0)</f>
        <v>0</v>
      </c>
      <c r="H192" s="39"/>
    </row>
    <row r="193" customFormat="false" ht="15" hidden="false" customHeight="false" outlineLevel="0" collapsed="false">
      <c r="A193" s="36"/>
      <c r="B193" s="24"/>
      <c r="C193" s="24"/>
      <c r="D193" s="37"/>
      <c r="E193" s="4"/>
      <c r="F193" s="38" t="str">
        <f aca="false">IF(OR(D193="",E193=""),"",IFERROR(E193/D193,0))</f>
        <v/>
      </c>
      <c r="G193" s="13" t="n">
        <f aca="false">IF(C193="Sell",E193*Inputs!$B$10,0)</f>
        <v>0</v>
      </c>
      <c r="H193" s="39"/>
    </row>
    <row r="194" customFormat="false" ht="15" hidden="false" customHeight="false" outlineLevel="0" collapsed="false">
      <c r="A194" s="36"/>
      <c r="B194" s="24"/>
      <c r="C194" s="24"/>
      <c r="D194" s="37"/>
      <c r="E194" s="4"/>
      <c r="F194" s="38" t="str">
        <f aca="false">IF(OR(D194="",E194=""),"",IFERROR(E194/D194,0))</f>
        <v/>
      </c>
      <c r="G194" s="13" t="n">
        <f aca="false">IF(C194="Sell",E194*Inputs!$B$10,0)</f>
        <v>0</v>
      </c>
      <c r="H194" s="39"/>
    </row>
    <row r="195" customFormat="false" ht="15" hidden="false" customHeight="false" outlineLevel="0" collapsed="false">
      <c r="A195" s="36"/>
      <c r="B195" s="24"/>
      <c r="C195" s="24"/>
      <c r="D195" s="37"/>
      <c r="E195" s="4"/>
      <c r="F195" s="38" t="str">
        <f aca="false">IF(OR(D195="",E195=""),"",IFERROR(E195/D195,0))</f>
        <v/>
      </c>
      <c r="G195" s="13" t="n">
        <f aca="false">IF(C195="Sell",E195*Inputs!$B$10,0)</f>
        <v>0</v>
      </c>
      <c r="H195" s="39"/>
    </row>
    <row r="196" customFormat="false" ht="15" hidden="false" customHeight="false" outlineLevel="0" collapsed="false">
      <c r="A196" s="36"/>
      <c r="B196" s="24"/>
      <c r="C196" s="24"/>
      <c r="D196" s="37"/>
      <c r="E196" s="4"/>
      <c r="F196" s="38" t="str">
        <f aca="false">IF(OR(D196="",E196=""),"",IFERROR(E196/D196,0))</f>
        <v/>
      </c>
      <c r="G196" s="13" t="n">
        <f aca="false">IF(C196="Sell",E196*Inputs!$B$10,0)</f>
        <v>0</v>
      </c>
      <c r="H196" s="39"/>
    </row>
    <row r="197" customFormat="false" ht="15" hidden="false" customHeight="false" outlineLevel="0" collapsed="false">
      <c r="A197" s="36"/>
      <c r="B197" s="24"/>
      <c r="C197" s="24"/>
      <c r="D197" s="37"/>
      <c r="E197" s="4"/>
      <c r="F197" s="38" t="str">
        <f aca="false">IF(OR(D197="",E197=""),"",IFERROR(E197/D197,0))</f>
        <v/>
      </c>
      <c r="G197" s="13" t="n">
        <f aca="false">IF(C197="Sell",E197*Inputs!$B$10,0)</f>
        <v>0</v>
      </c>
      <c r="H197" s="39"/>
    </row>
    <row r="198" customFormat="false" ht="15" hidden="false" customHeight="false" outlineLevel="0" collapsed="false">
      <c r="A198" s="36"/>
      <c r="B198" s="24"/>
      <c r="C198" s="24"/>
      <c r="D198" s="37"/>
      <c r="E198" s="4"/>
      <c r="F198" s="38" t="str">
        <f aca="false">IF(OR(D198="",E198=""),"",IFERROR(E198/D198,0))</f>
        <v/>
      </c>
      <c r="G198" s="13" t="n">
        <f aca="false">IF(C198="Sell",E198*Inputs!$B$10,0)</f>
        <v>0</v>
      </c>
      <c r="H198" s="39"/>
    </row>
    <row r="199" customFormat="false" ht="15" hidden="false" customHeight="false" outlineLevel="0" collapsed="false">
      <c r="A199" s="36"/>
      <c r="B199" s="24"/>
      <c r="C199" s="24"/>
      <c r="D199" s="37"/>
      <c r="E199" s="4"/>
      <c r="F199" s="38" t="str">
        <f aca="false">IF(OR(D199="",E199=""),"",IFERROR(E199/D199,0))</f>
        <v/>
      </c>
      <c r="G199" s="13" t="n">
        <f aca="false">IF(C199="Sell",E199*Inputs!$B$10,0)</f>
        <v>0</v>
      </c>
      <c r="H199" s="39"/>
    </row>
    <row r="200" customFormat="false" ht="15" hidden="false" customHeight="false" outlineLevel="0" collapsed="false">
      <c r="A200" s="36"/>
      <c r="B200" s="24"/>
      <c r="C200" s="24"/>
      <c r="D200" s="37"/>
      <c r="E200" s="4"/>
      <c r="F200" s="38" t="str">
        <f aca="false">IF(OR(D200="",E200=""),"",IFERROR(E200/D200,0))</f>
        <v/>
      </c>
      <c r="G200" s="13" t="n">
        <f aca="false">IF(C200="Sell",E200*Inputs!$B$10,0)</f>
        <v>0</v>
      </c>
      <c r="H200" s="39"/>
    </row>
    <row r="201" customFormat="false" ht="15" hidden="false" customHeight="false" outlineLevel="0" collapsed="false">
      <c r="A201" s="36"/>
      <c r="B201" s="24"/>
      <c r="C201" s="24"/>
      <c r="D201" s="37"/>
      <c r="E201" s="4"/>
      <c r="F201" s="38" t="str">
        <f aca="false">IF(OR(D201="",E201=""),"",IFERROR(E201/D201,0))</f>
        <v/>
      </c>
      <c r="G201" s="13" t="n">
        <f aca="false">IF(C201="Sell",E201*Inputs!$B$10,0)</f>
        <v>0</v>
      </c>
      <c r="H201" s="39"/>
    </row>
    <row r="202" customFormat="false" ht="15" hidden="false" customHeight="false" outlineLevel="0" collapsed="false">
      <c r="A202" s="36"/>
      <c r="B202" s="24"/>
      <c r="C202" s="24"/>
      <c r="D202" s="37"/>
      <c r="E202" s="4"/>
      <c r="F202" s="38" t="str">
        <f aca="false">IF(OR(D202="",E202=""),"",IFERROR(E202/D202,0))</f>
        <v/>
      </c>
      <c r="G202" s="13" t="n">
        <f aca="false">IF(C202="Sell",E202*Inputs!$B$10,0)</f>
        <v>0</v>
      </c>
      <c r="H202" s="39"/>
    </row>
    <row r="203" customFormat="false" ht="15" hidden="false" customHeight="false" outlineLevel="0" collapsed="false">
      <c r="A203" s="36"/>
      <c r="B203" s="24"/>
      <c r="C203" s="24"/>
      <c r="D203" s="37"/>
      <c r="E203" s="4"/>
      <c r="F203" s="38" t="str">
        <f aca="false">IF(OR(D203="",E203=""),"",IFERROR(E203/D203,0))</f>
        <v/>
      </c>
      <c r="G203" s="13" t="n">
        <f aca="false">IF(C203="Sell",E203*Inputs!$B$10,0)</f>
        <v>0</v>
      </c>
      <c r="H203" s="39"/>
    </row>
    <row r="204" customFormat="false" ht="15" hidden="false" customHeight="false" outlineLevel="0" collapsed="false">
      <c r="A204" s="36"/>
      <c r="B204" s="24"/>
      <c r="C204" s="24"/>
      <c r="D204" s="37"/>
      <c r="E204" s="4"/>
      <c r="F204" s="38" t="str">
        <f aca="false">IF(OR(D204="",E204=""),"",IFERROR(E204/D204,0))</f>
        <v/>
      </c>
      <c r="G204" s="13" t="n">
        <f aca="false">IF(C204="Sell",E204*Inputs!$B$10,0)</f>
        <v>0</v>
      </c>
      <c r="H204" s="39"/>
    </row>
    <row r="205" customFormat="false" ht="15" hidden="false" customHeight="false" outlineLevel="0" collapsed="false">
      <c r="A205" s="36"/>
      <c r="B205" s="24"/>
      <c r="C205" s="24"/>
      <c r="D205" s="37"/>
      <c r="E205" s="4"/>
      <c r="F205" s="38" t="str">
        <f aca="false">IF(OR(D205="",E205=""),"",IFERROR(E205/D205,0))</f>
        <v/>
      </c>
      <c r="G205" s="13" t="n">
        <f aca="false">IF(C205="Sell",E205*Inputs!$B$10,0)</f>
        <v>0</v>
      </c>
      <c r="H205" s="39"/>
    </row>
    <row r="206" customFormat="false" ht="15" hidden="false" customHeight="false" outlineLevel="0" collapsed="false">
      <c r="A206" s="36"/>
      <c r="B206" s="24"/>
      <c r="C206" s="24"/>
      <c r="D206" s="37"/>
      <c r="E206" s="4"/>
      <c r="F206" s="38" t="str">
        <f aca="false">IF(OR(D206="",E206=""),"",IFERROR(E206/D206,0))</f>
        <v/>
      </c>
      <c r="G206" s="13" t="n">
        <f aca="false">IF(C206="Sell",E206*Inputs!$B$10,0)</f>
        <v>0</v>
      </c>
      <c r="H206" s="39"/>
    </row>
  </sheetData>
  <conditionalFormatting sqref="S7:T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B7:B206" type="list">
      <formula1>"BTC,ETH,SOL,BNB,TRX,INJ,DOGE"</formula1>
      <formula2>0</formula2>
    </dataValidation>
    <dataValidation allowBlank="true" errorStyle="stop" operator="between" showDropDown="false" showErrorMessage="false" showInputMessage="false" sqref="C7:C206" type="list">
      <formula1>"Buy,Sell"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42" t="s">
        <v>170</v>
      </c>
    </row>
    <row r="5" customFormat="false" ht="15" hidden="false" customHeight="false" outlineLevel="0" collapsed="false">
      <c r="A5" s="43" t="s">
        <v>171</v>
      </c>
    </row>
    <row r="6" customFormat="false" ht="15" hidden="false" customHeight="false" outlineLevel="0" collapsed="false">
      <c r="A6" s="43" t="s">
        <v>172</v>
      </c>
    </row>
    <row r="7" customFormat="false" ht="15" hidden="false" customHeight="false" outlineLevel="0" collapsed="false">
      <c r="A7" s="43"/>
    </row>
    <row r="8" customFormat="false" ht="15" hidden="false" customHeight="false" outlineLevel="0" collapsed="false">
      <c r="A8" s="42" t="s">
        <v>173</v>
      </c>
    </row>
    <row r="9" customFormat="false" ht="15" hidden="false" customHeight="false" outlineLevel="0" collapsed="false">
      <c r="A9" s="43" t="s">
        <v>174</v>
      </c>
    </row>
    <row r="10" customFormat="false" ht="15" hidden="false" customHeight="false" outlineLevel="0" collapsed="false">
      <c r="A10" s="43" t="s">
        <v>175</v>
      </c>
    </row>
    <row r="11" customFormat="false" ht="15" hidden="false" customHeight="false" outlineLevel="0" collapsed="false">
      <c r="A11" s="43" t="s">
        <v>176</v>
      </c>
    </row>
    <row r="12" customFormat="false" ht="15" hidden="false" customHeight="false" outlineLevel="0" collapsed="false">
      <c r="A12" s="43"/>
    </row>
    <row r="13" customFormat="false" ht="15" hidden="false" customHeight="false" outlineLevel="0" collapsed="false">
      <c r="A13" s="42" t="s">
        <v>177</v>
      </c>
    </row>
    <row r="14" customFormat="false" ht="15" hidden="false" customHeight="false" outlineLevel="0" collapsed="false">
      <c r="A14" s="43" t="s">
        <v>178</v>
      </c>
    </row>
    <row r="15" customFormat="false" ht="15" hidden="false" customHeight="false" outlineLevel="0" collapsed="false">
      <c r="A15" s="43" t="s">
        <v>179</v>
      </c>
    </row>
    <row r="16" customFormat="false" ht="15" hidden="false" customHeight="false" outlineLevel="0" collapsed="false">
      <c r="A16" s="43" t="s">
        <v>180</v>
      </c>
    </row>
    <row r="17" customFormat="false" ht="15" hidden="false" customHeight="false" outlineLevel="0" collapsed="false">
      <c r="A17" s="43"/>
    </row>
    <row r="18" customFormat="false" ht="15" hidden="false" customHeight="false" outlineLevel="0" collapsed="false">
      <c r="A18" s="42" t="s">
        <v>181</v>
      </c>
    </row>
    <row r="19" customFormat="false" ht="15" hidden="false" customHeight="false" outlineLevel="0" collapsed="false">
      <c r="A19" s="43" t="s">
        <v>182</v>
      </c>
    </row>
    <row r="20" customFormat="false" ht="15" hidden="false" customHeight="false" outlineLevel="0" collapsed="false">
      <c r="A20" s="43" t="s">
        <v>183</v>
      </c>
    </row>
    <row r="21" customFormat="false" ht="15" hidden="false" customHeight="false" outlineLevel="0" collapsed="false">
      <c r="A21" s="43" t="s">
        <v>184</v>
      </c>
    </row>
    <row r="22" customFormat="false" ht="15" hidden="false" customHeight="false" outlineLevel="0" collapsed="false">
      <c r="A22" s="43" t="s">
        <v>185</v>
      </c>
    </row>
    <row r="23" customFormat="false" ht="15" hidden="false" customHeight="false" outlineLevel="0" collapsed="false">
      <c r="A23" s="43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2026-10-08T18:14:58Z</dcterms:created>
  <dc:creator>openpyxl</dc:creator>
  <dc:description/>
  <dc:language>en-US</dc:language>
  <cp:lastModifiedBy/>
  <dcterms:modified xsi:type="dcterms:W3CDTF">2026-10-08T18:14:58Z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